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5b2df6195c0c3d/Documents/heli adani/TASK-3/"/>
    </mc:Choice>
  </mc:AlternateContent>
  <xr:revisionPtr revIDLastSave="171" documentId="8_{D4DD6B5A-E829-4A8C-B278-4063FF3A5FCD}" xr6:coauthVersionLast="47" xr6:coauthVersionMax="47" xr10:uidLastSave="{8FA87A56-F39E-4409-BC49-98B41A387379}"/>
  <bookViews>
    <workbookView xWindow="-120" yWindow="-120" windowWidth="29040" windowHeight="17520" activeTab="1" xr2:uid="{39235383-EA0F-46FE-BA5D-8A3ECD91E3AE}"/>
  </bookViews>
  <sheets>
    <sheet name="Employee_Data" sheetId="1" r:id="rId1"/>
    <sheet name="Department_Bonus" sheetId="2" r:id="rId2"/>
    <sheet name="Search_In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D10" i="2"/>
  <c r="D17" i="2"/>
  <c r="H2" i="1"/>
  <c r="G2" i="1"/>
  <c r="K18" i="2"/>
  <c r="G5" i="1"/>
  <c r="G3" i="1"/>
  <c r="G4" i="1"/>
  <c r="G6" i="1"/>
  <c r="G7" i="1"/>
  <c r="G8" i="1"/>
  <c r="G9" i="1"/>
  <c r="H3" i="1"/>
  <c r="H4" i="1"/>
  <c r="H5" i="1"/>
  <c r="H6" i="1"/>
  <c r="H7" i="1"/>
  <c r="H8" i="1"/>
  <c r="H9" i="1"/>
  <c r="K17" i="3"/>
  <c r="K10" i="3"/>
  <c r="D24" i="3"/>
  <c r="D17" i="3"/>
  <c r="D10" i="3"/>
  <c r="D24" i="1" l="1"/>
  <c r="D17" i="1"/>
  <c r="K27" i="1"/>
  <c r="K20" i="1"/>
  <c r="K13" i="1"/>
  <c r="K6" i="1"/>
</calcChain>
</file>

<file path=xl/sharedStrings.xml><?xml version="1.0" encoding="utf-8"?>
<sst xmlns="http://schemas.openxmlformats.org/spreadsheetml/2006/main" count="111" uniqueCount="58">
  <si>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</si>
  <si>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</si>
  <si>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</si>
  <si>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</si>
  <si>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</si>
  <si>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</si>
  <si>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</si>
  <si>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</si>
  <si>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</si>
  <si>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</si>
  <si>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</si>
  <si>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</si>
  <si>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</si>
  <si>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</si>
  <si>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</si>
  <si>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</si>
  <si>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</si>
  <si>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</si>
  <si>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</si>
  <si>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</si>
  <si>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</si>
  <si>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</si>
  <si>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</si>
  <si>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</si>
  <si>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</si>
  <si>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</si>
  <si>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</si>
  <si>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</si>
  <si>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</si>
  <si>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</si>
  <si>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</si>
  <si>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</si>
  <si>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</si>
  <si>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r>
      <rPr>
        <u/>
        <sz val="14"/>
        <color theme="1"/>
        <rFont val="Calibri"/>
        <family val="2"/>
        <scheme val="minor"/>
      </rPr>
      <t>TASK-3</t>
    </r>
    <r>
      <rPr>
        <sz val="14"/>
        <color theme="1"/>
        <rFont val="Calibri"/>
        <family val="2"/>
        <scheme val="minor"/>
      </rPr>
      <t>: Find the Salary of employee 
                Neha Singh using VLOOKUP.</t>
    </r>
  </si>
  <si>
    <r>
      <rPr>
        <u/>
        <sz val="14"/>
        <color theme="1"/>
        <rFont val="Calibri"/>
        <family val="2"/>
        <scheme val="minor"/>
      </rPr>
      <t>TASK-4</t>
    </r>
    <r>
      <rPr>
        <sz val="14"/>
        <color theme="1"/>
        <rFont val="Calibri"/>
        <family val="2"/>
        <scheme val="minor"/>
      </rPr>
      <t>: Get the Location of employee E107.</t>
    </r>
  </si>
  <si>
    <r>
      <rPr>
        <u/>
        <sz val="14"/>
        <color theme="1"/>
        <rFont val="Calibri"/>
        <family val="2"/>
        <scheme val="minor"/>
      </rPr>
      <t>TASK-5</t>
    </r>
    <r>
      <rPr>
        <sz val="14"/>
        <color theme="1"/>
        <rFont val="Calibri"/>
        <family val="2"/>
        <scheme val="minor"/>
      </rPr>
      <t>: If EmployeeID is not found, 
               display "Not Found".</t>
    </r>
  </si>
  <si>
    <t>E110</t>
  </si>
  <si>
    <r>
      <rPr>
        <u/>
        <sz val="14"/>
        <color theme="1"/>
        <rFont val="Calibri"/>
        <family val="2"/>
        <scheme val="minor"/>
      </rPr>
      <t>TASK-6</t>
    </r>
    <r>
      <rPr>
        <sz val="14"/>
        <color theme="1"/>
        <rFont val="Calibri"/>
        <family val="2"/>
        <scheme val="minor"/>
      </rPr>
      <t>: Find the JoiningYear of employee E101</t>
    </r>
  </si>
  <si>
    <t>Bonus %</t>
  </si>
  <si>
    <r>
      <rPr>
        <u/>
        <sz val="14"/>
        <color theme="1"/>
        <rFont val="Calibri"/>
        <family val="2"/>
        <scheme val="minor"/>
      </rPr>
      <t>TASK-1</t>
    </r>
    <r>
      <rPr>
        <sz val="14"/>
        <color theme="1"/>
        <rFont val="Calibri"/>
        <family val="2"/>
        <scheme val="minor"/>
      </rPr>
      <t>: Find the Name of employee using          
                EmployeeID from Search_Input.</t>
    </r>
  </si>
  <si>
    <r>
      <rPr>
        <u/>
        <sz val="14"/>
        <color theme="1"/>
        <rFont val="Calibri"/>
        <family val="2"/>
        <scheme val="minor"/>
      </rPr>
      <t>TASK-2</t>
    </r>
    <r>
      <rPr>
        <sz val="14"/>
        <color theme="1"/>
        <rFont val="Calibri"/>
        <family val="2"/>
        <scheme val="minor"/>
      </rPr>
      <t>: Find the Department of
                employee with ID E103.</t>
    </r>
  </si>
  <si>
    <r>
      <rPr>
        <u/>
        <sz val="14"/>
        <color theme="1"/>
        <rFont val="Calibri"/>
        <family val="2"/>
        <scheme val="minor"/>
      </rPr>
      <t>TASK-7</t>
    </r>
    <r>
      <rPr>
        <sz val="14"/>
        <color theme="1"/>
        <rFont val="Calibri"/>
        <family val="2"/>
        <scheme val="minor"/>
      </rPr>
      <t>:Find the Bonus % for IT department.</t>
    </r>
  </si>
  <si>
    <r>
      <rPr>
        <u/>
        <sz val="14"/>
        <color theme="1"/>
        <rFont val="Calibri"/>
        <family val="2"/>
        <scheme val="minor"/>
      </rPr>
      <t>TASK-8</t>
    </r>
    <r>
      <rPr>
        <sz val="14"/>
        <color theme="1"/>
        <rFont val="Calibri"/>
        <family val="2"/>
        <scheme val="minor"/>
      </rPr>
      <t>:Find the Bonus % for Finance 
             department.</t>
    </r>
  </si>
  <si>
    <r>
      <rPr>
        <u/>
        <sz val="12"/>
        <color theme="1"/>
        <rFont val="Calibri"/>
        <family val="2"/>
        <scheme val="minor"/>
      </rPr>
      <t>TASK-9</t>
    </r>
    <r>
      <rPr>
        <sz val="12"/>
        <color theme="1"/>
        <rFont val="Calibri"/>
        <family val="2"/>
        <scheme val="minor"/>
      </rPr>
      <t>:Calculate Bonus Amount for employee
              E104(Bonus Amount = Salary × Bonus %).</t>
    </r>
  </si>
  <si>
    <t>Manager</t>
  </si>
  <si>
    <r>
      <rPr>
        <u/>
        <sz val="14"/>
        <color theme="1"/>
        <rFont val="Calibri"/>
        <family val="2"/>
        <scheme val="minor"/>
      </rPr>
      <t>TASK-10</t>
    </r>
    <r>
      <rPr>
        <sz val="14"/>
        <color theme="1"/>
        <rFont val="Calibri"/>
        <family val="2"/>
        <scheme val="minor"/>
      </rPr>
      <t>:If department is invalid, display 
             "No Bonus Data".</t>
    </r>
  </si>
  <si>
    <r>
      <rPr>
        <u/>
        <sz val="14"/>
        <color theme="1"/>
        <rFont val="Calibri"/>
        <family val="2"/>
        <scheme val="minor"/>
      </rPr>
      <t>TASK-11</t>
    </r>
    <r>
      <rPr>
        <sz val="14"/>
        <color theme="1"/>
        <rFont val="Calibri"/>
        <family val="2"/>
        <scheme val="minor"/>
      </rPr>
      <t>:Find Salary using EmployeeID.</t>
    </r>
  </si>
  <si>
    <r>
      <rPr>
        <u/>
        <sz val="14"/>
        <color theme="1"/>
        <rFont val="Calibri"/>
        <family val="2"/>
        <scheme val="minor"/>
      </rPr>
      <t>TASK-12</t>
    </r>
    <r>
      <rPr>
        <sz val="14"/>
        <color theme="1"/>
        <rFont val="Calibri"/>
        <family val="2"/>
        <scheme val="minor"/>
      </rPr>
      <t>:Find Department using 
               Employee Name.</t>
    </r>
  </si>
  <si>
    <t>Employee Name</t>
  </si>
  <si>
    <r>
      <rPr>
        <u/>
        <sz val="14"/>
        <color theme="1"/>
        <rFont val="Calibri"/>
        <family val="2"/>
        <scheme val="minor"/>
      </rPr>
      <t>TASK-13</t>
    </r>
    <r>
      <rPr>
        <sz val="14"/>
        <color theme="1"/>
        <rFont val="Calibri"/>
        <family val="2"/>
        <scheme val="minor"/>
      </rPr>
      <t>:Fetch Location of 
               employee Rohit Verma.</t>
    </r>
  </si>
  <si>
    <r>
      <rPr>
        <u/>
        <sz val="14"/>
        <color theme="1"/>
        <rFont val="Calibri"/>
        <family val="2"/>
        <scheme val="minor"/>
      </rPr>
      <t>TASK-14</t>
    </r>
    <r>
      <rPr>
        <sz val="14"/>
        <color theme="1"/>
        <rFont val="Calibri"/>
        <family val="2"/>
        <scheme val="minor"/>
      </rPr>
      <t>:If EmployeeID = E999, 
               return "Employee Not Found".</t>
    </r>
  </si>
  <si>
    <t>E999</t>
  </si>
  <si>
    <r>
      <rPr>
        <u/>
        <sz val="12"/>
        <color theme="1"/>
        <rFont val="Calibri"/>
        <family val="2"/>
        <scheme val="minor"/>
      </rPr>
      <t>TASK-15</t>
    </r>
    <r>
      <rPr>
        <sz val="12"/>
        <color theme="1"/>
        <rFont val="Calibri"/>
        <family val="2"/>
        <scheme val="minor"/>
      </rPr>
      <t>:Find Bonus % using XLOOKUP from 
               Department_Bonus(horizontal lookup).</t>
    </r>
  </si>
  <si>
    <t>Bouns</t>
  </si>
  <si>
    <t>Bouns%</t>
  </si>
  <si>
    <t>Bouns amount</t>
  </si>
  <si>
    <t>Bonus Amount</t>
  </si>
  <si>
    <t>E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</si>
</sst>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left" vertical="top"/>
    </xf>
    <xf numFmtId="9" fontId="0" fillId="0" borderId="0" xfId="1" applyFont="1"/>
    <xf numFmtId="9" fontId="0" fillId="5" borderId="1" xfId="1" applyFont="1" applyFill="1" applyBorder="1" applyAlignment="1">
      <alignment horizontal="left" vertical="top"/>
    </xf>
    <xf numFmtId="9" fontId="0" fillId="2" borderId="1" xfId="1" applyFont="1" applyFill="1" applyBorder="1" applyAlignment="1">
      <alignment horizontal="left" vertical="top"/>
    </xf>
    <xf numFmtId="9" fontId="0" fillId="3" borderId="1" xfId="1" applyFont="1" applyFill="1" applyBorder="1" applyAlignment="1">
      <alignment horizontal="left" vertical="top"/>
    </xf>
    <xf numFmtId="9" fontId="0" fillId="0" borderId="0" xfId="0" applyNumberFormat="1"/>
    <xf numFmtId="9" fontId="0" fillId="3" borderId="1" xfId="0" applyNumberForma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3F20-2B6B-488C-BAA6-544C9F5E3975}">
  <dimension ref="A1:N27"/>
  <sheetViews>
    <sheetView zoomScale="130" zoomScaleNormal="130" workbookViewId="0">
      <selection activeCell="H15" sqref="H15"/>
    </sheetView>
  </sheetViews>
  <sheetFormatPr defaultRowHeight="15" x14ac:dyDescent="0.25"/>
  <cols>
    <col min="1" max="1" width="12.5703125" customWidth="1"/>
    <col min="2" max="2" width="14.7109375" customWidth="1"/>
    <col min="3" max="3" width="12.5703125" customWidth="1"/>
    <col min="4" max="4" width="12.42578125" customWidth="1"/>
    <col min="5" max="5" width="11" customWidth="1"/>
    <col min="6" max="6" width="10.85546875" customWidth="1"/>
    <col min="7" max="7" width="13.28515625" customWidth="1"/>
    <col min="8" max="8" width="14.42578125" customWidth="1"/>
    <col min="10" max="10" width="11.42578125" customWidth="1"/>
    <col min="11" max="11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54</v>
      </c>
      <c r="I1" s="19" t="s">
        <v>39</v>
      </c>
      <c r="J1" s="20"/>
      <c r="K1" s="20"/>
      <c r="L1" s="20"/>
      <c r="M1" s="20"/>
      <c r="N1" s="20"/>
    </row>
    <row r="2" spans="1:14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45000</v>
      </c>
      <c r="F2" s="2">
        <v>2019</v>
      </c>
      <c r="G2" s="2">
        <f>E2*H2</f>
        <v>4500</v>
      </c>
      <c r="H2" s="14">
        <f>_xlfn.XLOOKUP(C2,Department_Bonus!$B$1:$F$1,Department_Bonus!$B$2:$F$2)</f>
        <v>0.1</v>
      </c>
      <c r="I2" s="21"/>
      <c r="J2" s="20"/>
      <c r="K2" s="20"/>
      <c r="L2" s="20"/>
      <c r="M2" s="20"/>
      <c r="N2" s="20"/>
    </row>
    <row r="3" spans="1:14" x14ac:dyDescent="0.25">
      <c r="A3" s="2" t="s">
        <v>10</v>
      </c>
      <c r="B3" s="2" t="s">
        <v>11</v>
      </c>
      <c r="C3" s="2" t="s">
        <v>12</v>
      </c>
      <c r="D3" s="2" t="s">
        <v>13</v>
      </c>
      <c r="E3" s="2">
        <v>52000</v>
      </c>
      <c r="F3" s="2">
        <v>2018</v>
      </c>
      <c r="G3" s="2">
        <f t="shared" ref="G3:G9" si="0">E3*H3</f>
        <v>4160</v>
      </c>
      <c r="H3" s="14">
        <f>_xlfn.XLOOKUP(C3,Department_Bonus!$B$1:$F$1,Department_Bonus!$B$2:$F$2)</f>
        <v>0.08</v>
      </c>
      <c r="I3" s="21"/>
      <c r="J3" s="20"/>
      <c r="K3" s="20"/>
      <c r="L3" s="20"/>
      <c r="M3" s="20"/>
      <c r="N3" s="20"/>
    </row>
    <row r="4" spans="1:14" x14ac:dyDescent="0.25">
      <c r="A4" s="2" t="s">
        <v>14</v>
      </c>
      <c r="B4" s="2" t="s">
        <v>15</v>
      </c>
      <c r="C4" s="2" t="s">
        <v>16</v>
      </c>
      <c r="D4" s="2" t="s">
        <v>17</v>
      </c>
      <c r="E4" s="2">
        <v>65000</v>
      </c>
      <c r="F4" s="2">
        <v>2020</v>
      </c>
      <c r="G4" s="2">
        <f t="shared" si="0"/>
        <v>7800</v>
      </c>
      <c r="H4" s="14">
        <f>_xlfn.XLOOKUP(C4,Department_Bonus!$B$1:$F$1,Department_Bonus!$B$2:$F$2)</f>
        <v>0.12</v>
      </c>
    </row>
    <row r="5" spans="1:14" x14ac:dyDescent="0.25">
      <c r="A5" s="2" t="s">
        <v>18</v>
      </c>
      <c r="B5" s="2" t="s">
        <v>19</v>
      </c>
      <c r="C5" s="2" t="s">
        <v>20</v>
      </c>
      <c r="D5" s="2" t="s">
        <v>21</v>
      </c>
      <c r="E5" s="2">
        <v>58000</v>
      </c>
      <c r="F5" s="2">
        <v>2017</v>
      </c>
      <c r="G5" s="2">
        <f>E5*H5</f>
        <v>8700</v>
      </c>
      <c r="H5" s="14">
        <f>_xlfn.XLOOKUP(C5,Department_Bonus!$B$1:$F$1,Department_Bonus!$B$2:$F$2)</f>
        <v>0.15</v>
      </c>
      <c r="J5" s="4" t="s">
        <v>0</v>
      </c>
      <c r="K5" s="4" t="s">
        <v>1</v>
      </c>
    </row>
    <row r="6" spans="1:14" x14ac:dyDescent="0.25">
      <c r="A6" s="2" t="s">
        <v>22</v>
      </c>
      <c r="B6" s="2" t="s">
        <v>23</v>
      </c>
      <c r="C6" s="2" t="s">
        <v>24</v>
      </c>
      <c r="D6" s="2" t="s">
        <v>9</v>
      </c>
      <c r="E6" s="2">
        <v>48000</v>
      </c>
      <c r="F6" s="2">
        <v>2021</v>
      </c>
      <c r="G6" s="2">
        <f t="shared" si="0"/>
        <v>4320</v>
      </c>
      <c r="H6" s="14">
        <f>_xlfn.XLOOKUP(C6,Department_Bonus!$B$1:$F$1,Department_Bonus!$B$2:$F$2)</f>
        <v>0.09</v>
      </c>
      <c r="J6" s="3" t="s">
        <v>25</v>
      </c>
      <c r="K6" s="3" t="str">
        <f>VLOOKUP(J6,A1:F9,2,0)</f>
        <v>Pooja Mehta</v>
      </c>
    </row>
    <row r="7" spans="1:14" x14ac:dyDescent="0.25">
      <c r="A7" s="2" t="s">
        <v>25</v>
      </c>
      <c r="B7" s="2" t="s">
        <v>26</v>
      </c>
      <c r="C7" s="2" t="s">
        <v>16</v>
      </c>
      <c r="D7" s="2" t="s">
        <v>27</v>
      </c>
      <c r="E7" s="2">
        <v>62000</v>
      </c>
      <c r="F7" s="2">
        <v>2019</v>
      </c>
      <c r="G7" s="2">
        <f t="shared" si="0"/>
        <v>7440</v>
      </c>
      <c r="H7" s="14">
        <f>_xlfn.XLOOKUP(C7,Department_Bonus!$B$1:$F$1,Department_Bonus!$B$2:$F$2)</f>
        <v>0.12</v>
      </c>
    </row>
    <row r="8" spans="1:14" x14ac:dyDescent="0.25">
      <c r="A8" s="2" t="s">
        <v>28</v>
      </c>
      <c r="B8" s="2" t="s">
        <v>29</v>
      </c>
      <c r="C8" s="2" t="s">
        <v>8</v>
      </c>
      <c r="D8" s="2" t="s">
        <v>30</v>
      </c>
      <c r="E8" s="2">
        <v>47000</v>
      </c>
      <c r="F8" s="2">
        <v>2020</v>
      </c>
      <c r="G8" s="2">
        <f t="shared" si="0"/>
        <v>4700</v>
      </c>
      <c r="H8" s="14">
        <f>_xlfn.XLOOKUP(C8,Department_Bonus!$B$1:$F$1,Department_Bonus!$B$2:$F$2)</f>
        <v>0.1</v>
      </c>
      <c r="I8" s="19" t="s">
        <v>40</v>
      </c>
      <c r="J8" s="15"/>
      <c r="K8" s="15"/>
      <c r="L8" s="15"/>
      <c r="M8" s="15"/>
      <c r="N8" s="15"/>
    </row>
    <row r="9" spans="1:14" x14ac:dyDescent="0.25">
      <c r="A9" s="2" t="s">
        <v>31</v>
      </c>
      <c r="B9" s="2" t="s">
        <v>32</v>
      </c>
      <c r="C9" s="2" t="s">
        <v>12</v>
      </c>
      <c r="D9" s="2" t="s">
        <v>17</v>
      </c>
      <c r="E9" s="2">
        <v>54000</v>
      </c>
      <c r="F9" s="2">
        <v>2016</v>
      </c>
      <c r="G9" s="2">
        <f t="shared" si="0"/>
        <v>4320</v>
      </c>
      <c r="H9" s="14">
        <f>_xlfn.XLOOKUP(C9,Department_Bonus!$B$1:$F$1,Department_Bonus!$B$2:$F$2)</f>
        <v>0.08</v>
      </c>
      <c r="I9" s="22"/>
      <c r="J9" s="15"/>
      <c r="K9" s="15"/>
      <c r="L9" s="15"/>
      <c r="M9" s="15"/>
      <c r="N9" s="15"/>
    </row>
    <row r="10" spans="1:14" x14ac:dyDescent="0.25">
      <c r="H10" s="13"/>
      <c r="I10" s="15"/>
      <c r="J10" s="15"/>
      <c r="K10" s="15"/>
      <c r="L10" s="15"/>
      <c r="M10" s="15"/>
      <c r="N10" s="15"/>
    </row>
    <row r="12" spans="1:14" x14ac:dyDescent="0.25">
      <c r="B12" s="16" t="s">
        <v>35</v>
      </c>
      <c r="C12" s="15"/>
      <c r="D12" s="15"/>
      <c r="E12" s="15"/>
      <c r="F12" s="15"/>
      <c r="J12" s="4" t="s">
        <v>0</v>
      </c>
      <c r="K12" s="4" t="s">
        <v>2</v>
      </c>
    </row>
    <row r="13" spans="1:14" x14ac:dyDescent="0.25">
      <c r="B13" s="15"/>
      <c r="C13" s="15"/>
      <c r="D13" s="15"/>
      <c r="E13" s="15"/>
      <c r="F13" s="15"/>
      <c r="J13" s="3" t="s">
        <v>14</v>
      </c>
      <c r="K13" s="3" t="str">
        <f>VLOOKUP(J13,A1:F9,3,0)</f>
        <v>IT</v>
      </c>
    </row>
    <row r="14" spans="1:14" x14ac:dyDescent="0.25">
      <c r="B14" s="15"/>
      <c r="C14" s="15"/>
      <c r="D14" s="15"/>
      <c r="E14" s="15"/>
      <c r="F14" s="15"/>
    </row>
    <row r="15" spans="1:14" x14ac:dyDescent="0.25">
      <c r="I15" s="16" t="s">
        <v>33</v>
      </c>
      <c r="J15" s="15"/>
      <c r="K15" s="15"/>
      <c r="L15" s="15"/>
      <c r="M15" s="15"/>
      <c r="N15" s="15"/>
    </row>
    <row r="16" spans="1:14" x14ac:dyDescent="0.25">
      <c r="C16" s="5" t="s">
        <v>0</v>
      </c>
      <c r="D16" s="5" t="s">
        <v>1</v>
      </c>
      <c r="I16" s="15"/>
      <c r="J16" s="15"/>
      <c r="K16" s="15"/>
      <c r="L16" s="15"/>
      <c r="M16" s="15"/>
      <c r="N16" s="15"/>
    </row>
    <row r="17" spans="2:14" x14ac:dyDescent="0.25">
      <c r="C17" s="3" t="s">
        <v>36</v>
      </c>
      <c r="D17" s="3" t="str">
        <f>IFERROR(VLOOKUP(C17,A1:F9,2,0),"NOT FOUND")</f>
        <v>NOT FOUND</v>
      </c>
      <c r="I17" s="15"/>
      <c r="J17" s="15"/>
      <c r="K17" s="15"/>
      <c r="L17" s="15"/>
      <c r="M17" s="15"/>
      <c r="N17" s="15"/>
    </row>
    <row r="19" spans="2:14" x14ac:dyDescent="0.25">
      <c r="B19" s="15" t="s">
        <v>37</v>
      </c>
      <c r="C19" s="15"/>
      <c r="D19" s="15"/>
      <c r="E19" s="15"/>
      <c r="F19" s="15"/>
      <c r="J19" s="5" t="s">
        <v>1</v>
      </c>
      <c r="K19" s="5" t="s">
        <v>4</v>
      </c>
    </row>
    <row r="20" spans="2:14" x14ac:dyDescent="0.25">
      <c r="B20" s="15"/>
      <c r="C20" s="15"/>
      <c r="D20" s="15"/>
      <c r="E20" s="15"/>
      <c r="F20" s="15"/>
      <c r="J20" s="6" t="s">
        <v>19</v>
      </c>
      <c r="K20" s="6">
        <f>VLOOKUP(J20,B1:E9,4,0)</f>
        <v>58000</v>
      </c>
    </row>
    <row r="21" spans="2:14" x14ac:dyDescent="0.25">
      <c r="B21" s="15"/>
      <c r="C21" s="15"/>
      <c r="D21" s="15"/>
      <c r="E21" s="15"/>
      <c r="F21" s="15"/>
    </row>
    <row r="22" spans="2:14" x14ac:dyDescent="0.25">
      <c r="I22" s="15" t="s">
        <v>34</v>
      </c>
      <c r="J22" s="15"/>
      <c r="K22" s="15"/>
      <c r="L22" s="15"/>
      <c r="M22" s="15"/>
      <c r="N22" s="15"/>
    </row>
    <row r="23" spans="2:14" x14ac:dyDescent="0.25">
      <c r="C23" s="5" t="s">
        <v>0</v>
      </c>
      <c r="D23" s="5" t="s">
        <v>5</v>
      </c>
      <c r="I23" s="15"/>
      <c r="J23" s="15"/>
      <c r="K23" s="15"/>
      <c r="L23" s="15"/>
      <c r="M23" s="15"/>
      <c r="N23" s="15"/>
    </row>
    <row r="24" spans="2:14" x14ac:dyDescent="0.25">
      <c r="C24" s="6" t="s">
        <v>6</v>
      </c>
      <c r="D24" s="6">
        <f>VLOOKUP(C24,A1:F9,6,0)</f>
        <v>2019</v>
      </c>
      <c r="I24" s="15"/>
      <c r="J24" s="15"/>
      <c r="K24" s="15"/>
      <c r="L24" s="15"/>
      <c r="M24" s="15"/>
      <c r="N24" s="15"/>
    </row>
    <row r="26" spans="2:14" x14ac:dyDescent="0.25">
      <c r="J26" s="5" t="s">
        <v>0</v>
      </c>
      <c r="K26" s="5" t="s">
        <v>3</v>
      </c>
    </row>
    <row r="27" spans="2:14" x14ac:dyDescent="0.25">
      <c r="J27" s="3" t="s">
        <v>28</v>
      </c>
      <c r="K27" s="3" t="str">
        <f>VLOOKUP(J27,A1:F9,4,0)</f>
        <v>Hyderabad</v>
      </c>
    </row>
  </sheetData>
  <mergeCells count="6">
    <mergeCell ref="I1:N3"/>
    <mergeCell ref="I8:N10"/>
    <mergeCell ref="I15:N17"/>
    <mergeCell ref="I22:N24"/>
    <mergeCell ref="B12:F14"/>
    <mergeCell ref="B19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3450-48C4-4740-A94C-D9EA32F8F377}">
  <dimension ref="A1:M19"/>
  <sheetViews>
    <sheetView tabSelected="1" zoomScale="143" zoomScaleNormal="143" workbookViewId="0">
      <selection activeCell="H10" sqref="H10"/>
    </sheetView>
  </sheetViews>
  <sheetFormatPr defaultRowHeight="15" x14ac:dyDescent="0.25"/>
  <cols>
    <col min="1" max="1" width="11.28515625" customWidth="1"/>
    <col min="3" max="3" width="11.28515625" customWidth="1"/>
    <col min="10" max="10" width="11.140625" customWidth="1"/>
    <col min="11" max="11" width="14.28515625" customWidth="1"/>
  </cols>
  <sheetData>
    <row r="1" spans="1:13" x14ac:dyDescent="0.25">
      <c r="A1" s="1" t="s">
        <v>2</v>
      </c>
      <c r="B1" s="2" t="s">
        <v>8</v>
      </c>
      <c r="C1" s="2" t="s">
        <v>12</v>
      </c>
      <c r="D1" s="2" t="s">
        <v>16</v>
      </c>
      <c r="E1" s="2" t="s">
        <v>20</v>
      </c>
      <c r="F1" s="2" t="s">
        <v>24</v>
      </c>
    </row>
    <row r="2" spans="1:13" x14ac:dyDescent="0.25">
      <c r="A2" s="11" t="s">
        <v>38</v>
      </c>
      <c r="B2" s="12">
        <v>0.1</v>
      </c>
      <c r="C2" s="12">
        <v>0.08</v>
      </c>
      <c r="D2" s="12">
        <v>0.12</v>
      </c>
      <c r="E2" s="12">
        <v>0.15</v>
      </c>
      <c r="F2" s="12">
        <v>0.09</v>
      </c>
    </row>
    <row r="5" spans="1:13" x14ac:dyDescent="0.25">
      <c r="B5" s="15" t="s">
        <v>41</v>
      </c>
      <c r="C5" s="15"/>
      <c r="D5" s="15"/>
      <c r="E5" s="15"/>
      <c r="F5" s="15"/>
      <c r="I5" s="18" t="s">
        <v>43</v>
      </c>
      <c r="J5" s="17"/>
      <c r="K5" s="17"/>
      <c r="L5" s="17"/>
      <c r="M5" s="17"/>
    </row>
    <row r="6" spans="1:13" x14ac:dyDescent="0.25">
      <c r="B6" s="15"/>
      <c r="C6" s="15"/>
      <c r="D6" s="15"/>
      <c r="E6" s="15"/>
      <c r="F6" s="15"/>
      <c r="I6" s="17"/>
      <c r="J6" s="17"/>
      <c r="K6" s="17"/>
      <c r="L6" s="17"/>
      <c r="M6" s="17"/>
    </row>
    <row r="7" spans="1:13" x14ac:dyDescent="0.25">
      <c r="B7" s="15"/>
      <c r="C7" s="15"/>
      <c r="D7" s="15"/>
      <c r="E7" s="15"/>
      <c r="F7" s="15"/>
      <c r="I7" s="17"/>
      <c r="J7" s="17"/>
      <c r="K7" s="17"/>
      <c r="L7" s="17"/>
      <c r="M7" s="17"/>
    </row>
    <row r="9" spans="1:13" x14ac:dyDescent="0.25">
      <c r="C9" s="5" t="s">
        <v>2</v>
      </c>
      <c r="D9" s="6" t="s">
        <v>16</v>
      </c>
      <c r="J9" s="5" t="s">
        <v>2</v>
      </c>
      <c r="K9" s="5" t="s">
        <v>56</v>
      </c>
    </row>
    <row r="10" spans="1:13" x14ac:dyDescent="0.25">
      <c r="C10" s="5" t="s">
        <v>38</v>
      </c>
      <c r="D10" s="10">
        <f>HLOOKUP(D9,A1:F2,2,0)</f>
        <v>0.12</v>
      </c>
      <c r="J10" s="5" t="s">
        <v>57</v>
      </c>
      <c r="K10" s="5">
        <f>Employee_Data!E5*HLOOKUP(Employee_Data!C5,Department_Bonus!A1:F2,2,0)</f>
        <v>8700</v>
      </c>
    </row>
    <row r="11" spans="1:13" x14ac:dyDescent="0.25">
      <c r="D11" s="9"/>
    </row>
    <row r="12" spans="1:13" x14ac:dyDescent="0.25">
      <c r="B12" s="16" t="s">
        <v>42</v>
      </c>
      <c r="C12" s="17"/>
      <c r="D12" s="17"/>
      <c r="E12" s="17"/>
      <c r="F12" s="17"/>
    </row>
    <row r="13" spans="1:13" x14ac:dyDescent="0.25">
      <c r="B13" s="17"/>
      <c r="C13" s="17"/>
      <c r="D13" s="17"/>
      <c r="E13" s="17"/>
      <c r="F13" s="17"/>
      <c r="I13" s="16" t="s">
        <v>45</v>
      </c>
      <c r="J13" s="15"/>
      <c r="K13" s="15"/>
      <c r="L13" s="15"/>
      <c r="M13" s="15"/>
    </row>
    <row r="14" spans="1:13" x14ac:dyDescent="0.25">
      <c r="B14" s="17"/>
      <c r="C14" s="17"/>
      <c r="D14" s="17"/>
      <c r="E14" s="17"/>
      <c r="F14" s="17"/>
      <c r="I14" s="15"/>
      <c r="J14" s="15"/>
      <c r="K14" s="15"/>
      <c r="L14" s="15"/>
      <c r="M14" s="15"/>
    </row>
    <row r="15" spans="1:13" x14ac:dyDescent="0.25">
      <c r="I15" s="15"/>
      <c r="J15" s="15"/>
      <c r="K15" s="15"/>
      <c r="L15" s="15"/>
      <c r="M15" s="15"/>
    </row>
    <row r="16" spans="1:13" x14ac:dyDescent="0.25">
      <c r="C16" s="5" t="s">
        <v>2</v>
      </c>
      <c r="D16" s="6" t="s">
        <v>20</v>
      </c>
    </row>
    <row r="17" spans="3:11" x14ac:dyDescent="0.25">
      <c r="C17" s="5" t="s">
        <v>38</v>
      </c>
      <c r="D17" s="10">
        <f>HLOOKUP(D16,A1:F2,2,0)</f>
        <v>0.15</v>
      </c>
      <c r="J17" s="5" t="s">
        <v>2</v>
      </c>
      <c r="K17" s="6" t="s">
        <v>44</v>
      </c>
    </row>
    <row r="18" spans="3:11" x14ac:dyDescent="0.25">
      <c r="J18" s="5" t="s">
        <v>38</v>
      </c>
      <c r="K18" s="6" t="str">
        <f>IFERROR(HLOOKUP(K17,A1:F2,2,0),"NO Bonus Data")</f>
        <v>NO Bonus Data</v>
      </c>
    </row>
    <row r="19" spans="3:11" x14ac:dyDescent="0.25">
      <c r="E19" s="8"/>
    </row>
  </sheetData>
  <mergeCells count="4">
    <mergeCell ref="B5:F7"/>
    <mergeCell ref="B12:F14"/>
    <mergeCell ref="I5:M7"/>
    <mergeCell ref="I13:M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8AEF-3B9A-4A60-92BE-629BC3E7DE7E}">
  <dimension ref="A1:M24"/>
  <sheetViews>
    <sheetView zoomScale="132" workbookViewId="0">
      <selection activeCell="H26" sqref="H26"/>
    </sheetView>
  </sheetViews>
  <sheetFormatPr defaultRowHeight="15" x14ac:dyDescent="0.25"/>
  <cols>
    <col min="1" max="1" width="11.5703125" customWidth="1"/>
    <col min="2" max="2" width="11.7109375" customWidth="1"/>
    <col min="3" max="3" width="14.28515625" customWidth="1"/>
    <col min="4" max="4" width="12" customWidth="1"/>
    <col min="10" max="10" width="14.5703125" customWidth="1"/>
    <col min="11" max="11" width="11.42578125" customWidth="1"/>
  </cols>
  <sheetData>
    <row r="1" spans="1:13" x14ac:dyDescent="0.25">
      <c r="A1" s="1" t="s">
        <v>0</v>
      </c>
      <c r="B1" s="2" t="s">
        <v>1</v>
      </c>
    </row>
    <row r="2" spans="1:13" x14ac:dyDescent="0.25">
      <c r="A2" s="1" t="s">
        <v>18</v>
      </c>
      <c r="B2" s="2" t="s">
        <v>15</v>
      </c>
    </row>
    <row r="5" spans="1:13" x14ac:dyDescent="0.25">
      <c r="B5" s="15" t="s">
        <v>46</v>
      </c>
      <c r="C5" s="15"/>
      <c r="D5" s="15"/>
      <c r="E5" s="15"/>
      <c r="F5" s="15"/>
      <c r="I5" s="16" t="s">
        <v>50</v>
      </c>
      <c r="J5" s="15"/>
      <c r="K5" s="15"/>
      <c r="L5" s="15"/>
      <c r="M5" s="15"/>
    </row>
    <row r="6" spans="1:13" x14ac:dyDescent="0.25">
      <c r="B6" s="15"/>
      <c r="C6" s="15"/>
      <c r="D6" s="15"/>
      <c r="E6" s="15"/>
      <c r="F6" s="15"/>
      <c r="I6" s="15"/>
      <c r="J6" s="15"/>
      <c r="K6" s="15"/>
      <c r="L6" s="15"/>
      <c r="M6" s="15"/>
    </row>
    <row r="7" spans="1:13" x14ac:dyDescent="0.25">
      <c r="B7" s="15"/>
      <c r="C7" s="15"/>
      <c r="D7" s="15"/>
      <c r="E7" s="15"/>
      <c r="F7" s="15"/>
      <c r="I7" s="15"/>
      <c r="J7" s="15"/>
      <c r="K7" s="15"/>
      <c r="L7" s="15"/>
      <c r="M7" s="15"/>
    </row>
    <row r="9" spans="1:13" x14ac:dyDescent="0.25">
      <c r="C9" s="4" t="s">
        <v>0</v>
      </c>
      <c r="D9" s="3" t="s">
        <v>18</v>
      </c>
      <c r="J9" s="4" t="s">
        <v>0</v>
      </c>
      <c r="K9" s="3" t="s">
        <v>51</v>
      </c>
    </row>
    <row r="10" spans="1:13" x14ac:dyDescent="0.25">
      <c r="C10" s="4" t="s">
        <v>4</v>
      </c>
      <c r="D10" s="7">
        <f>_xlfn.XLOOKUP(D9,Employee_Data!A1:A9,Employee_Data!E1:E9)</f>
        <v>58000</v>
      </c>
      <c r="J10" s="4" t="s">
        <v>48</v>
      </c>
      <c r="K10" s="3" t="str">
        <f>IFERROR(_xlfn.XLOOKUP(K9,Employee_Data!A1:A9,Employee_Data!B1:B9),"E Not Found")</f>
        <v>E Not Found</v>
      </c>
    </row>
    <row r="12" spans="1:13" x14ac:dyDescent="0.25">
      <c r="B12" s="16" t="s">
        <v>47</v>
      </c>
      <c r="C12" s="15"/>
      <c r="D12" s="15"/>
      <c r="E12" s="15"/>
      <c r="F12" s="15"/>
      <c r="I12" s="18" t="s">
        <v>52</v>
      </c>
      <c r="J12" s="17"/>
      <c r="K12" s="17"/>
      <c r="L12" s="17"/>
      <c r="M12" s="17"/>
    </row>
    <row r="13" spans="1:13" x14ac:dyDescent="0.25">
      <c r="B13" s="15"/>
      <c r="C13" s="15"/>
      <c r="D13" s="15"/>
      <c r="E13" s="15"/>
      <c r="F13" s="15"/>
      <c r="I13" s="17"/>
      <c r="J13" s="17"/>
      <c r="K13" s="17"/>
      <c r="L13" s="17"/>
      <c r="M13" s="17"/>
    </row>
    <row r="14" spans="1:13" x14ac:dyDescent="0.25">
      <c r="B14" s="15"/>
      <c r="C14" s="15"/>
      <c r="D14" s="15"/>
      <c r="E14" s="15"/>
      <c r="F14" s="15"/>
      <c r="I14" s="17"/>
      <c r="J14" s="17"/>
      <c r="K14" s="17"/>
      <c r="L14" s="17"/>
      <c r="M14" s="17"/>
    </row>
    <row r="15" spans="1:13" x14ac:dyDescent="0.25">
      <c r="E15" s="8"/>
    </row>
    <row r="16" spans="1:13" x14ac:dyDescent="0.25">
      <c r="C16" s="4" t="s">
        <v>48</v>
      </c>
      <c r="D16" s="6" t="s">
        <v>15</v>
      </c>
      <c r="J16" s="4" t="s">
        <v>2</v>
      </c>
      <c r="K16" s="3" t="s">
        <v>16</v>
      </c>
    </row>
    <row r="17" spans="2:11" x14ac:dyDescent="0.25">
      <c r="C17" s="4" t="s">
        <v>2</v>
      </c>
      <c r="D17" s="3" t="str">
        <f>_xlfn.XLOOKUP(D16,Employee_Data!B1:B9,Employee_Data!C1:C9)</f>
        <v>IT</v>
      </c>
      <c r="J17" s="4" t="s">
        <v>53</v>
      </c>
      <c r="K17" s="10">
        <f>_xlfn.XLOOKUP(K16,Department_Bonus!A1:F1,Department_Bonus!A2:F2)</f>
        <v>0.12</v>
      </c>
    </row>
    <row r="19" spans="2:11" x14ac:dyDescent="0.25">
      <c r="B19" s="16" t="s">
        <v>49</v>
      </c>
      <c r="C19" s="15"/>
      <c r="D19" s="15"/>
      <c r="E19" s="15"/>
      <c r="F19" s="15"/>
    </row>
    <row r="20" spans="2:11" x14ac:dyDescent="0.25">
      <c r="B20" s="15"/>
      <c r="C20" s="15"/>
      <c r="D20" s="15"/>
      <c r="E20" s="15"/>
      <c r="F20" s="15"/>
    </row>
    <row r="21" spans="2:11" x14ac:dyDescent="0.25">
      <c r="B21" s="15"/>
      <c r="C21" s="15"/>
      <c r="D21" s="15"/>
      <c r="E21" s="15"/>
      <c r="F21" s="15"/>
    </row>
    <row r="23" spans="2:11" x14ac:dyDescent="0.25">
      <c r="C23" s="4" t="s">
        <v>48</v>
      </c>
      <c r="D23" s="6" t="s">
        <v>15</v>
      </c>
    </row>
    <row r="24" spans="2:11" x14ac:dyDescent="0.25">
      <c r="C24" s="4" t="s">
        <v>3</v>
      </c>
      <c r="D24" s="3" t="str">
        <f>_xlfn.XLOOKUP(D23,Employee_Data!B1:B9,Employee_Data!D1:D9)</f>
        <v>Bangalore</v>
      </c>
    </row>
  </sheetData>
  <mergeCells count="5">
    <mergeCell ref="B5:F7"/>
    <mergeCell ref="B12:F14"/>
    <mergeCell ref="B19:F21"/>
    <mergeCell ref="I5:M7"/>
    <mergeCell ref="I12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Department_Bonus</vt:lpstr>
      <vt:lpstr>Search_Input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heli</dc:creator>
  <cp:lastModifiedBy>patel heli</cp:lastModifiedBy>
  <dcterms:created xsi:type="dcterms:W3CDTF">2026-06-29T14:11:53Z</dcterms:created>
  <dcterms:modified xsi:type="dcterms:W3CDTF">2026-07-09T13:54:34Z</dcterms:modified>
</cp:coreProperties>
</file>