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5b2df6195c0c3d/Documents/"/>
    </mc:Choice>
  </mc:AlternateContent>
  <xr:revisionPtr revIDLastSave="323" documentId="8_{648CDC0E-0B9A-4AAA-A148-68BD2F225E7C}" xr6:coauthVersionLast="47" xr6:coauthVersionMax="47" xr10:uidLastSave="{237AE2CB-5034-47BD-96AF-25388CC084CD}"/>
  <bookViews>
    <workbookView xWindow="-120" yWindow="-120" windowWidth="29040" windowHeight="17520" xr2:uid="{504E14CB-31F4-4E8E-A057-4844FF2F130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0" l="1"/>
  <c r="D7" i="10"/>
  <c r="D8" i="10"/>
  <c r="D5" i="10"/>
  <c r="C5" i="9"/>
  <c r="C6" i="9"/>
  <c r="C7" i="9"/>
  <c r="C8" i="9"/>
  <c r="C5" i="8"/>
  <c r="C6" i="8"/>
  <c r="C7" i="8"/>
  <c r="C8" i="8"/>
  <c r="D5" i="7"/>
  <c r="D6" i="7"/>
  <c r="D7" i="7"/>
  <c r="D8" i="7"/>
  <c r="D5" i="6"/>
  <c r="D5" i="5"/>
  <c r="D6" i="5"/>
  <c r="D7" i="5"/>
  <c r="D8" i="5"/>
  <c r="D6" i="6"/>
  <c r="D7" i="6"/>
  <c r="D8" i="6"/>
  <c r="D5" i="4"/>
  <c r="D6" i="4"/>
  <c r="D7" i="4"/>
  <c r="D8" i="4"/>
  <c r="C5" i="3" l="1"/>
  <c r="C6" i="3"/>
  <c r="C7" i="3"/>
  <c r="C8" i="3"/>
  <c r="C9" i="3"/>
  <c r="C7" i="2"/>
  <c r="C8" i="2"/>
  <c r="C9" i="2"/>
  <c r="C6" i="2"/>
  <c r="D7" i="1"/>
  <c r="D8" i="1"/>
  <c r="D9" i="1"/>
  <c r="D10" i="1"/>
  <c r="D11" i="1"/>
</calcChain>
</file>

<file path=xl/sharedStrings.xml><?xml version="1.0" encoding="utf-8"?>
<sst xmlns="http://schemas.openxmlformats.org/spreadsheetml/2006/main" count="112" uniqueCount="75">
  <si>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</si>
  <si>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</si>
  <si>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</si>
  <si>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</si>
  <si>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</si>
  <si>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</si>
  <si>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</si>
  <si>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</si>
  <si>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</si>
  <si>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r>
      <rPr>
        <u/>
        <sz val="11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If Marks ≥ 40 → Pass
Else → Fail</t>
    </r>
  </si>
  <si>
    <r>
      <t xml:space="preserve">Formula:
</t>
    </r>
    <r>
      <rPr>
        <sz val="11"/>
        <color theme="1"/>
        <rFont val="Calibri"/>
        <family val="2"/>
        <scheme val="minor"/>
      </rPr>
      <t>=IF(C7&gt;=40,"pass","fail")</t>
    </r>
  </si>
  <si>
    <t>Employee Name</t>
  </si>
  <si>
    <t>Salary</t>
  </si>
  <si>
    <t>Bonus Status</t>
  </si>
  <si>
    <t>Rohit</t>
  </si>
  <si>
    <t>Simran</t>
  </si>
  <si>
    <t>Vijay</t>
  </si>
  <si>
    <t>Nisha</t>
  </si>
  <si>
    <r>
      <rPr>
        <u/>
        <sz val="11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Salary ≥ 40000 → Bonus
Else → No Bonus</t>
    </r>
  </si>
  <si>
    <r>
      <rPr>
        <u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=IF(B6&gt;=40000,"bouns","not bouns")</t>
    </r>
  </si>
  <si>
    <r>
      <rPr>
        <u/>
        <sz val="18"/>
        <color theme="1"/>
        <rFont val="Calibri"/>
        <family val="2"/>
        <scheme val="minor"/>
      </rPr>
      <t>Task -1</t>
    </r>
    <r>
      <rPr>
        <sz val="18"/>
        <color theme="1"/>
        <rFont val="Calibri"/>
        <family val="2"/>
        <scheme val="minor"/>
      </rPr>
      <t>: Pass / Fail using IF</t>
    </r>
  </si>
  <si>
    <r>
      <rPr>
        <u/>
        <sz val="18"/>
        <color theme="1"/>
        <rFont val="Calibri"/>
        <family val="2"/>
        <scheme val="minor"/>
      </rPr>
      <t>Task -2:</t>
    </r>
    <r>
      <rPr>
        <sz val="18"/>
        <color theme="1"/>
        <rFont val="Calibri"/>
        <family val="2"/>
        <scheme val="minor"/>
      </rPr>
      <t xml:space="preserve"> Salary Bonus Check (IF)</t>
    </r>
  </si>
  <si>
    <r>
      <rPr>
        <u/>
        <sz val="18"/>
        <color theme="1"/>
        <rFont val="Calibri"/>
        <family val="2"/>
        <scheme val="minor"/>
      </rPr>
      <t>Task -3</t>
    </r>
    <r>
      <rPr>
        <sz val="18"/>
        <color theme="1"/>
        <rFont val="Calibri"/>
        <family val="2"/>
        <scheme val="minor"/>
      </rPr>
      <t>: Grade Calculation (Nested IF)</t>
    </r>
  </si>
  <si>
    <t>Grade</t>
  </si>
  <si>
    <r>
      <rPr>
        <u/>
        <sz val="16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≥ 75 → A
≥ 60 → B
≥ 40 → C
&lt; 40 → Fail</t>
    </r>
  </si>
  <si>
    <r>
      <rPr>
        <u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=IF(B5&gt;=75,"A",IF(B5&gt;=60,"B",IF(B5&gt;=40,"C","Fail")))</t>
    </r>
  </si>
  <si>
    <r>
      <rPr>
        <u/>
        <sz val="18"/>
        <color theme="1"/>
        <rFont val="Calibri"/>
        <family val="2"/>
        <scheme val="minor"/>
      </rPr>
      <t>Task -4:</t>
    </r>
    <r>
      <rPr>
        <sz val="18"/>
        <color theme="1"/>
        <rFont val="Calibri"/>
        <family val="2"/>
        <scheme val="minor"/>
      </rPr>
      <t xml:space="preserve"> Job Eligibility (AND)</t>
    </r>
  </si>
  <si>
    <t>Name</t>
  </si>
  <si>
    <t>Age</t>
  </si>
  <si>
    <t>Experience (Years)</t>
  </si>
  <si>
    <t>Eligible</t>
  </si>
  <si>
    <r>
      <rPr>
        <u/>
        <sz val="16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Age ≥ 21 AND Experience ≥ 1 → Eligible</t>
    </r>
  </si>
  <si>
    <r>
      <rPr>
        <u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=IF(AND(B5&gt;=21,C5&gt;=1),"Eligible","Not Eligible")</t>
    </r>
  </si>
  <si>
    <r>
      <rPr>
        <u/>
        <sz val="18"/>
        <color theme="1"/>
        <rFont val="Calibri"/>
        <family val="2"/>
        <scheme val="minor"/>
      </rPr>
      <t>Task -5:</t>
    </r>
    <r>
      <rPr>
        <sz val="18"/>
        <color theme="1"/>
        <rFont val="Calibri"/>
        <family val="2"/>
        <scheme val="minor"/>
      </rPr>
      <t xml:space="preserve"> Exam Eligibility (AND)</t>
    </r>
  </si>
  <si>
    <t>Attendance %</t>
  </si>
  <si>
    <t>Assignment Submitted</t>
  </si>
  <si>
    <t>Yes</t>
  </si>
  <si>
    <t>No</t>
  </si>
  <si>
    <r>
      <rPr>
        <u/>
        <sz val="18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Attendance ≥ 75 AND Assignment = Yes</t>
    </r>
  </si>
  <si>
    <r>
      <rPr>
        <u/>
        <sz val="18"/>
        <color theme="1"/>
        <rFont val="Calibri"/>
        <family val="2"/>
        <scheme val="minor"/>
      </rPr>
      <t>Task -6:</t>
    </r>
    <r>
      <rPr>
        <sz val="18"/>
        <color theme="1"/>
        <rFont val="Calibri"/>
        <family val="2"/>
        <scheme val="minor"/>
      </rPr>
      <t xml:space="preserve"> Discount Logic (OR)</t>
    </r>
  </si>
  <si>
    <t>Customer Name</t>
  </si>
  <si>
    <t>Purchase Amount</t>
  </si>
  <si>
    <t>Membership</t>
  </si>
  <si>
    <t>Discount</t>
  </si>
  <si>
    <t>Aakash</t>
  </si>
  <si>
    <t>Bhavna</t>
  </si>
  <si>
    <t>Divya</t>
  </si>
  <si>
    <r>
      <rPr>
        <u/>
        <sz val="15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Purchase ≥ 10000 OR Membership = Yes</t>
    </r>
  </si>
  <si>
    <r>
      <t xml:space="preserve">Formula:
</t>
    </r>
    <r>
      <rPr>
        <sz val="12"/>
        <color theme="1"/>
        <rFont val="Calibri"/>
        <family val="2"/>
        <scheme val="minor"/>
      </rPr>
      <t>=IF(AND(B5&gt;=75,C5&gt;="Yes"),"Eligible","Not Eligible")</t>
    </r>
  </si>
  <si>
    <r>
      <rPr>
        <u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=IF(OR(B5&gt;=10000,C5&gt;="Yes"),
"Discount","Not Discount")</t>
    </r>
  </si>
  <si>
    <r>
      <rPr>
        <u/>
        <sz val="18"/>
        <color theme="1"/>
        <rFont val="Calibri"/>
        <family val="2"/>
        <scheme val="minor"/>
      </rPr>
      <t>Task -7</t>
    </r>
    <r>
      <rPr>
        <sz val="18"/>
        <color theme="1"/>
        <rFont val="Calibri"/>
        <family val="2"/>
        <scheme val="minor"/>
      </rPr>
      <t>: Loan Approval (OR)</t>
    </r>
  </si>
  <si>
    <t>Applicant</t>
  </si>
  <si>
    <t>CIBIL Score</t>
  </si>
  <si>
    <t>Loan Status</t>
  </si>
  <si>
    <r>
      <rPr>
        <u/>
        <sz val="11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Salary ≥ 40000 OR CIBIL ≥ 700</t>
    </r>
  </si>
  <si>
    <r>
      <rPr>
        <u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=IF(OR(B5&gt;=40000,C5&gt;=700),
"approval","Not Approval")</t>
    </r>
  </si>
  <si>
    <r>
      <rPr>
        <u/>
        <sz val="18"/>
        <color theme="1"/>
        <rFont val="Calibri"/>
        <family val="2"/>
        <scheme val="minor"/>
      </rPr>
      <t>Task -8</t>
    </r>
    <r>
      <rPr>
        <sz val="18"/>
        <color theme="1"/>
        <rFont val="Calibri"/>
        <family val="2"/>
        <scheme val="minor"/>
      </rPr>
      <t>: Attendance Status (NOT)</t>
    </r>
  </si>
  <si>
    <t>Present</t>
  </si>
  <si>
    <t>Status</t>
  </si>
  <si>
    <r>
      <rPr>
        <b/>
        <u/>
        <sz val="11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If NOT Present → Absent
Else → Present</t>
    </r>
  </si>
  <si>
    <r>
      <rPr>
        <u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=IF(NOT(B5),"Absent","Present")</t>
    </r>
  </si>
  <si>
    <r>
      <rPr>
        <u/>
        <sz val="18"/>
        <color theme="1"/>
        <rFont val="Calibri"/>
        <family val="2"/>
        <scheme val="minor"/>
      </rPr>
      <t>Task -9:</t>
    </r>
    <r>
      <rPr>
        <sz val="18"/>
        <color theme="1"/>
        <rFont val="Calibri"/>
        <family val="2"/>
        <scheme val="minor"/>
      </rPr>
      <t xml:space="preserve"> Safe Division (IFERROR)</t>
    </r>
  </si>
  <si>
    <t>Number 1</t>
  </si>
  <si>
    <t>Number 2</t>
  </si>
  <si>
    <r>
      <rPr>
        <u/>
        <sz val="11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Divide Number 1 by Number 2
If error → show "Invalid"</t>
    </r>
  </si>
  <si>
    <r>
      <rPr>
        <u/>
        <sz val="15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=IFERROR(A5/B5,"invalid")</t>
    </r>
  </si>
  <si>
    <r>
      <rPr>
        <u/>
        <sz val="14"/>
        <color theme="1"/>
        <rFont val="Calibri"/>
        <family val="2"/>
        <scheme val="minor"/>
      </rPr>
      <t>Task -10</t>
    </r>
    <r>
      <rPr>
        <sz val="14"/>
        <color theme="1"/>
        <rFont val="Calibri"/>
        <family val="2"/>
        <scheme val="minor"/>
      </rPr>
      <t>: Performance Evaluation (Combined Logic)</t>
    </r>
  </si>
  <si>
    <t>Targets Achieved</t>
  </si>
  <si>
    <t>Performance</t>
  </si>
  <si>
    <t>Raj</t>
  </si>
  <si>
    <t>Sunita</t>
  </si>
  <si>
    <t>Manoj</t>
  </si>
  <si>
    <t>Kavita</t>
  </si>
  <si>
    <r>
      <rPr>
        <u/>
        <sz val="11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
Attendance ≥ 90 AND Targets ≥ 40 → Excellent
Attendance ≥ 80 → Good
Else → Needs Improvement</t>
    </r>
  </si>
  <si>
    <r>
      <rPr>
        <b/>
        <u/>
        <sz val="14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 xml:space="preserve">
=IF(AND(C5&gt;=90,B5&gt;=40),
"excellent",IF(C5&gt;=80,"good",
"need improvement"))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</si>
</sst>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5" borderId="2" xfId="0" applyFont="1" applyFill="1" applyBorder="1" applyAlignment="1">
      <alignment horizontal="left" wrapText="1"/>
    </xf>
    <xf numFmtId="0" fontId="0" fillId="5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 wrapText="1"/>
    </xf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6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4" borderId="1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5" borderId="2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left" wrapText="1"/>
    </xf>
    <xf numFmtId="0" fontId="0" fillId="5" borderId="2" xfId="0" applyFill="1" applyBorder="1" applyAlignment="1">
      <alignment horizontal="left"/>
    </xf>
  </cellXfs>
  <cellStyles count="1">
    <cellStyle name="Normal" xfId="0" builtinId="0"/>
  </cellStyles>
  <dxfs count="82"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AB9F1F-6891-49F7-A0FC-8C5B8241BD39}" name="Table2" displayName="Table2" ref="B6:D11" totalsRowShown="0" headerRowDxfId="72" headerRowBorderDxfId="77" tableBorderDxfId="78" totalsRowBorderDxfId="76">
  <autoFilter ref="B6:D11" xr:uid="{4AAB9F1F-6891-49F7-A0FC-8C5B8241BD39}"/>
  <tableColumns count="3">
    <tableColumn id="1" xr3:uid="{F8C550F2-F64C-4BE4-8B44-CC1D7F4BB7D0}" name="Student Name" dataDxfId="75"/>
    <tableColumn id="2" xr3:uid="{DC06455E-224E-4FFD-A53F-3FD74DE23EC0}" name="Marks" dataDxfId="74"/>
    <tableColumn id="3" xr3:uid="{967C78EA-266C-4268-A7C6-561943C8098C}" name="Result" dataDxfId="73">
      <calculatedColumnFormula>IF(C7&gt;=40,"pass","fail")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45ADEE-0CB3-4204-9339-A2F9D3B6BB74}" name="Table4" displayName="Table4" ref="A6:A11" totalsRowShown="0" headerRowDxfId="54" dataDxfId="55" headerRowBorderDxfId="58" tableBorderDxfId="59" totalsRowBorderDxfId="57">
  <autoFilter ref="A6:A11" xr:uid="{8E45ADEE-0CB3-4204-9339-A2F9D3B6BB74}"/>
  <tableColumns count="1">
    <tableColumn id="1" xr3:uid="{9F83910D-33D7-4500-B160-CFF53E1BA69A}" name="Roll No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2E08F-D820-4509-8BDC-573E67A4DBAC}" name="Table1" displayName="Table1" ref="A5:C9" totalsRowShown="0" headerRowDxfId="68" dataDxfId="67" headerRowBorderDxfId="80" tableBorderDxfId="81" totalsRowBorderDxfId="79">
  <autoFilter ref="A5:C9" xr:uid="{10E2E08F-D820-4509-8BDC-573E67A4DBAC}"/>
  <tableColumns count="3">
    <tableColumn id="1" xr3:uid="{E8CB8F66-DE60-4BF2-8F9C-1F4A54CA1144}" name="Employee Name" dataDxfId="71"/>
    <tableColumn id="2" xr3:uid="{DE46707D-57CE-4517-8C40-CA043236BE5B}" name="Salary" dataDxfId="70"/>
    <tableColumn id="3" xr3:uid="{828C681A-8417-493C-B8D8-691B590CD6F2}" name="Bonus Status" dataDxfId="69">
      <calculatedColumnFormula>IF(B6&gt;=40000,"Bouns","No Bouns")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9E4F30-5E0A-4FDF-8E7F-626CFBE83B3B}" name="Table3" displayName="Table3" ref="A4:C9" totalsRowShown="0" headerRowDxfId="60" headerRowBorderDxfId="65" tableBorderDxfId="66" totalsRowBorderDxfId="64">
  <autoFilter ref="A4:C9" xr:uid="{E19E4F30-5E0A-4FDF-8E7F-626CFBE83B3B}"/>
  <tableColumns count="3">
    <tableColumn id="1" xr3:uid="{868BAD7F-1485-49FC-8226-1AB42F6A7465}" name="Student Name" dataDxfId="63"/>
    <tableColumn id="2" xr3:uid="{5FE1A88E-D3EF-4CDC-B652-5D6EB3BB9B01}" name="Marks" dataDxfId="62"/>
    <tableColumn id="3" xr3:uid="{1B5585CB-8E17-4A5D-B0FB-6C40B129F7FC}" name="Grade" dataDxfId="61">
      <calculatedColumnFormula>IF(B5&gt;=75,"A",IF(B5&gt;=60,"B",IF(B5&gt;=40,"C","Fail")))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5957F1-6355-484D-B936-3EEF61A27849}" name="Table5" displayName="Table5" ref="A4:D8" totalsRowShown="0" headerRowDxfId="46" headerRowBorderDxfId="52" tableBorderDxfId="53" totalsRowBorderDxfId="51">
  <autoFilter ref="A4:D8" xr:uid="{A25957F1-6355-484D-B936-3EEF61A27849}"/>
  <tableColumns count="4">
    <tableColumn id="1" xr3:uid="{B41EEA50-D621-4030-8462-0F3AE75BD699}" name="Name" dataDxfId="50"/>
    <tableColumn id="2" xr3:uid="{50C21EAB-BCAA-497E-93E8-0EC6013CAAA6}" name="Age" dataDxfId="49"/>
    <tableColumn id="3" xr3:uid="{1F076D9C-94FE-46D1-9CCE-9079D1A9C698}" name="Experience (Years)" dataDxfId="48"/>
    <tableColumn id="4" xr3:uid="{5F4D4B8C-7752-441D-8A6E-352D63F3D0BD}" name="Eligible" dataDxfId="47">
      <calculatedColumnFormula>IF(AND(B5&gt;=21,C5&gt;=1),"Eligible","Not Eligible")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D9DF53-F20E-458E-87A6-5E8D5763868D}" name="Table6" displayName="Table6" ref="A4:D8" totalsRowShown="0" headerRowDxfId="38" headerRowBorderDxfId="44" tableBorderDxfId="45" totalsRowBorderDxfId="43">
  <autoFilter ref="A4:D8" xr:uid="{6ED9DF53-F20E-458E-87A6-5E8D5763868D}"/>
  <tableColumns count="4">
    <tableColumn id="1" xr3:uid="{90579497-1756-4BE2-86D3-38289FB23A58}" name="Student Name" dataDxfId="42"/>
    <tableColumn id="2" xr3:uid="{929551ED-2A93-48F6-ACA8-7B452B7572A9}" name="Attendance %" dataDxfId="41"/>
    <tableColumn id="3" xr3:uid="{38364792-32C8-4002-9232-C79EC349E6A2}" name="Assignment Submitted" dataDxfId="40"/>
    <tableColumn id="4" xr3:uid="{EB5EFCA2-012D-4F95-B833-799D781432CB}" name="Eligible" dataDxfId="39">
      <calculatedColumnFormula>IF(AND(B5&gt;=75,C5&gt;="Yes"),"Eligible","Not Eligible")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C6E220-3D53-46D6-B168-7BD0EFD1EA2E}" name="Table7" displayName="Table7" ref="A4:D8" totalsRowShown="0" headerRowDxfId="30" headerRowBorderDxfId="36" tableBorderDxfId="37" totalsRowBorderDxfId="35">
  <autoFilter ref="A4:D8" xr:uid="{3FC6E220-3D53-46D6-B168-7BD0EFD1EA2E}"/>
  <tableColumns count="4">
    <tableColumn id="1" xr3:uid="{C78DAA9C-3CB1-4BAD-A7EB-04308244BCFA}" name="Customer Name" dataDxfId="34"/>
    <tableColumn id="2" xr3:uid="{7018E58A-2124-44D4-917B-8F7A7E6BE6B3}" name="Purchase Amount" dataDxfId="33"/>
    <tableColumn id="3" xr3:uid="{4C7A9A88-7EF9-41D2-BBEC-9FCA2B7B9E58}" name="Membership" dataDxfId="32"/>
    <tableColumn id="4" xr3:uid="{D7004C54-5C83-4E4F-A790-6654DEB56071}" name="Discount" dataDxfId="31">
      <calculatedColumnFormula>IF(OR(B5&gt;=10000,C5&gt;="Yes"),"Discount","Not Discount")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CA6FD5-EE00-436E-9BE4-1934E0E4DAA3}" name="Table8" displayName="Table8" ref="A4:D8" totalsRowShown="0" headerRowDxfId="22" headerRowBorderDxfId="28" tableBorderDxfId="29" totalsRowBorderDxfId="27">
  <autoFilter ref="A4:D8" xr:uid="{98CA6FD5-EE00-436E-9BE4-1934E0E4DAA3}"/>
  <tableColumns count="4">
    <tableColumn id="1" xr3:uid="{3342356C-2A2F-454B-9FC6-EF7C81DB1D2C}" name="Applicant" dataDxfId="26"/>
    <tableColumn id="2" xr3:uid="{9EA41FFD-5BD2-41A2-9C1F-07B09511E6EB}" name="Salary" dataDxfId="25"/>
    <tableColumn id="3" xr3:uid="{23CDC15C-B1DE-457E-BC8B-9BB0BB4713B9}" name="CIBIL Score" dataDxfId="24"/>
    <tableColumn id="4" xr3:uid="{89888EA5-4D47-439A-B7C3-7F8AA4C6C915}" name="Loan Status" dataDxfId="23">
      <calculatedColumnFormula>IF(OR(B5&gt;=40000,C5&gt;=700),"approval","Not Approval")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B3F004-4E32-44EC-9A46-ADA64D45B25A}" name="Table9" displayName="Table9" ref="A4:C8" totalsRowShown="0" headerRowDxfId="15" headerRowBorderDxfId="20" tableBorderDxfId="21" totalsRowBorderDxfId="19">
  <autoFilter ref="A4:C8" xr:uid="{0CB3F004-4E32-44EC-9A46-ADA64D45B25A}"/>
  <tableColumns count="3">
    <tableColumn id="1" xr3:uid="{207FA7AF-2A11-45B4-B509-AECB67C9179D}" name="Name" dataDxfId="18"/>
    <tableColumn id="2" xr3:uid="{0E57D399-60B7-4420-B869-777A54ED1681}" name="Present" dataDxfId="17"/>
    <tableColumn id="3" xr3:uid="{44CDE27D-6ADE-4065-8501-54658C67CB21}" name="Status" dataDxfId="16">
      <calculatedColumnFormula>IF(NOT(B5),"Absent","Present")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F6B9D1-D50C-462A-9615-95BA2308B232}" name="Table10" displayName="Table10" ref="A4:C8" totalsRowShown="0" headerRowDxfId="8" headerRowBorderDxfId="13" tableBorderDxfId="14" totalsRowBorderDxfId="12">
  <autoFilter ref="A4:C8" xr:uid="{8DF6B9D1-D50C-462A-9615-95BA2308B232}"/>
  <tableColumns count="3">
    <tableColumn id="1" xr3:uid="{EB057B8E-B9E4-4708-9B83-DBDE066747D7}" name="Number 1" dataDxfId="11"/>
    <tableColumn id="2" xr3:uid="{9D6E9205-4190-42DD-8108-182F301898EC}" name="Number 2" dataDxfId="10"/>
    <tableColumn id="3" xr3:uid="{30B45FA0-1852-49FF-A1D4-8A0E32E09325}" name="Result" dataDxfId="9">
      <calculatedColumnFormula>IFERROR(A5/B5,"invalid")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2818CA-3E27-48F8-ADB2-1AE97623AAB8}" name="Table11" displayName="Table11" ref="A4:D8" totalsRowShown="0" headerRowDxfId="0" headerRowBorderDxfId="6" tableBorderDxfId="7" totalsRowBorderDxfId="5">
  <autoFilter ref="A4:D8" xr:uid="{AC2818CA-3E27-48F8-ADB2-1AE97623AAB8}"/>
  <tableColumns count="4">
    <tableColumn id="1" xr3:uid="{3F2BAE93-BA76-4C4D-85EC-F7E6A3283CCE}" name="Employee Name" dataDxfId="4"/>
    <tableColumn id="2" xr3:uid="{87AE73C8-7872-4EB5-9E4A-A824849465A8}" name="Targets Achieved" dataDxfId="3"/>
    <tableColumn id="3" xr3:uid="{C381197E-E0E9-40D8-B51D-2791FDBE80E4}" name="Attendance %" dataDxfId="2"/>
    <tableColumn id="4" xr3:uid="{D81E6ABE-9CD6-47C8-9976-64C05B46D3DF}" name="Performance" dataDxfId="1">
      <calculatedColumnFormula>IF(AND(C5&gt;=90,B5&gt;=40),"excellent",IF(C5&gt;=80,"good","need improvement"))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CFA0-5309-46CE-8E36-26C80DC9DD37}">
  <dimension ref="A3:N16"/>
  <sheetViews>
    <sheetView tabSelected="1" zoomScale="147" workbookViewId="0">
      <selection activeCell="G3" sqref="G3:N4"/>
    </sheetView>
  </sheetViews>
  <sheetFormatPr defaultRowHeight="15" x14ac:dyDescent="0.25"/>
  <cols>
    <col min="2" max="2" width="14.140625" customWidth="1"/>
    <col min="3" max="3" width="7.7109375" customWidth="1"/>
  </cols>
  <sheetData>
    <row r="3" spans="1:14" x14ac:dyDescent="0.25">
      <c r="G3" s="1" t="s">
        <v>20</v>
      </c>
      <c r="H3" s="2"/>
      <c r="I3" s="2"/>
      <c r="J3" s="2"/>
      <c r="K3" s="2"/>
      <c r="L3" s="2"/>
      <c r="M3" s="2"/>
      <c r="N3" s="2"/>
    </row>
    <row r="4" spans="1:14" x14ac:dyDescent="0.25">
      <c r="G4" s="2"/>
      <c r="H4" s="2"/>
      <c r="I4" s="2"/>
      <c r="J4" s="2"/>
      <c r="K4" s="2"/>
      <c r="L4" s="2"/>
      <c r="M4" s="2"/>
      <c r="N4" s="2"/>
    </row>
    <row r="6" spans="1:14" x14ac:dyDescent="0.25">
      <c r="A6" s="29" t="s">
        <v>0</v>
      </c>
      <c r="B6" s="20" t="s">
        <v>1</v>
      </c>
      <c r="C6" s="21" t="s">
        <v>2</v>
      </c>
      <c r="D6" s="22" t="s">
        <v>3</v>
      </c>
    </row>
    <row r="7" spans="1:14" x14ac:dyDescent="0.25">
      <c r="A7" s="28">
        <v>1</v>
      </c>
      <c r="B7" s="18" t="s">
        <v>4</v>
      </c>
      <c r="C7" s="4">
        <v>78</v>
      </c>
      <c r="D7" s="19" t="str">
        <f>IF(C7&gt;=40,"pass","fail")</f>
        <v>pass</v>
      </c>
    </row>
    <row r="8" spans="1:14" x14ac:dyDescent="0.25">
      <c r="A8" s="28">
        <v>2</v>
      </c>
      <c r="B8" s="18" t="s">
        <v>5</v>
      </c>
      <c r="C8" s="4">
        <v>35</v>
      </c>
      <c r="D8" s="19" t="str">
        <f t="shared" ref="D8:D11" si="0">IF(C8&gt;=40,"pass","fail")</f>
        <v>fail</v>
      </c>
    </row>
    <row r="9" spans="1:14" x14ac:dyDescent="0.25">
      <c r="A9" s="28">
        <v>3</v>
      </c>
      <c r="B9" s="18" t="s">
        <v>6</v>
      </c>
      <c r="C9" s="4">
        <v>62</v>
      </c>
      <c r="D9" s="19" t="str">
        <f t="shared" si="0"/>
        <v>pass</v>
      </c>
      <c r="G9" s="5" t="s">
        <v>9</v>
      </c>
      <c r="H9" s="6"/>
      <c r="I9" s="6"/>
      <c r="J9" s="6"/>
    </row>
    <row r="10" spans="1:14" x14ac:dyDescent="0.25">
      <c r="A10" s="28">
        <v>4</v>
      </c>
      <c r="B10" s="18" t="s">
        <v>7</v>
      </c>
      <c r="C10" s="4">
        <v>40</v>
      </c>
      <c r="D10" s="19" t="str">
        <f t="shared" si="0"/>
        <v>pass</v>
      </c>
      <c r="G10" s="6"/>
      <c r="H10" s="6"/>
      <c r="I10" s="6"/>
      <c r="J10" s="6"/>
    </row>
    <row r="11" spans="1:14" x14ac:dyDescent="0.25">
      <c r="A11" s="30">
        <v>5</v>
      </c>
      <c r="B11" s="23" t="s">
        <v>8</v>
      </c>
      <c r="C11" s="24">
        <v>28</v>
      </c>
      <c r="D11" s="25" t="str">
        <f t="shared" si="0"/>
        <v>fail</v>
      </c>
      <c r="G11" s="6"/>
      <c r="H11" s="6"/>
      <c r="I11" s="6"/>
      <c r="J11" s="6"/>
    </row>
    <row r="14" spans="1:14" x14ac:dyDescent="0.25">
      <c r="G14" s="7" t="s">
        <v>10</v>
      </c>
      <c r="H14" s="8"/>
      <c r="I14" s="8"/>
      <c r="J14" s="8"/>
    </row>
    <row r="15" spans="1:14" x14ac:dyDescent="0.25">
      <c r="G15" s="8"/>
      <c r="H15" s="8"/>
      <c r="I15" s="8"/>
      <c r="J15" s="8"/>
    </row>
    <row r="16" spans="1:14" x14ac:dyDescent="0.25">
      <c r="G16" s="8"/>
      <c r="H16" s="8"/>
      <c r="I16" s="8"/>
      <c r="J16" s="8"/>
    </row>
  </sheetData>
  <mergeCells count="3">
    <mergeCell ref="G3:N4"/>
    <mergeCell ref="G9:J11"/>
    <mergeCell ref="G14:J16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AEBE-64E0-478C-8157-D23CB36BEC03}">
  <dimension ref="A2:N15"/>
  <sheetViews>
    <sheetView zoomScale="118" workbookViewId="0">
      <selection activeCell="G2" sqref="G2:N3"/>
    </sheetView>
  </sheetViews>
  <sheetFormatPr defaultRowHeight="15" x14ac:dyDescent="0.25"/>
  <cols>
    <col min="1" max="1" width="16.28515625" customWidth="1"/>
    <col min="3" max="3" width="13.7109375" customWidth="1"/>
  </cols>
  <sheetData>
    <row r="2" spans="1:14" x14ac:dyDescent="0.25">
      <c r="G2" s="1" t="s">
        <v>21</v>
      </c>
      <c r="H2" s="2"/>
      <c r="I2" s="2"/>
      <c r="J2" s="2"/>
      <c r="K2" s="2"/>
      <c r="L2" s="2"/>
      <c r="M2" s="2"/>
      <c r="N2" s="2"/>
    </row>
    <row r="3" spans="1:14" x14ac:dyDescent="0.25">
      <c r="G3" s="2"/>
      <c r="H3" s="2"/>
      <c r="I3" s="2"/>
      <c r="J3" s="2"/>
      <c r="K3" s="2"/>
      <c r="L3" s="2"/>
      <c r="M3" s="2"/>
      <c r="N3" s="2"/>
    </row>
    <row r="5" spans="1:14" x14ac:dyDescent="0.25">
      <c r="A5" s="20" t="s">
        <v>11</v>
      </c>
      <c r="B5" s="21" t="s">
        <v>12</v>
      </c>
      <c r="C5" s="22" t="s">
        <v>13</v>
      </c>
    </row>
    <row r="6" spans="1:14" x14ac:dyDescent="0.25">
      <c r="A6" s="18" t="s">
        <v>14</v>
      </c>
      <c r="B6" s="4">
        <v>28000</v>
      </c>
      <c r="C6" s="19" t="str">
        <f>IF(B6&gt;=40000,"Bouns","No Bouns")</f>
        <v>No Bouns</v>
      </c>
    </row>
    <row r="7" spans="1:14" x14ac:dyDescent="0.25">
      <c r="A7" s="18" t="s">
        <v>15</v>
      </c>
      <c r="B7" s="4">
        <v>45000</v>
      </c>
      <c r="C7" s="19" t="str">
        <f t="shared" ref="C7:C9" si="0">IF(B7&gt;=40000,"Bouns","No Bouns")</f>
        <v>Bouns</v>
      </c>
    </row>
    <row r="8" spans="1:14" x14ac:dyDescent="0.25">
      <c r="A8" s="18" t="s">
        <v>16</v>
      </c>
      <c r="B8" s="4">
        <v>52000</v>
      </c>
      <c r="C8" s="19" t="str">
        <f t="shared" si="0"/>
        <v>Bouns</v>
      </c>
      <c r="F8" s="9" t="s">
        <v>18</v>
      </c>
      <c r="G8" s="8"/>
      <c r="H8" s="8"/>
      <c r="I8" s="8"/>
      <c r="J8" s="8"/>
    </row>
    <row r="9" spans="1:14" x14ac:dyDescent="0.25">
      <c r="A9" s="23" t="s">
        <v>17</v>
      </c>
      <c r="B9" s="24">
        <v>30000</v>
      </c>
      <c r="C9" s="25" t="str">
        <f t="shared" si="0"/>
        <v>No Bouns</v>
      </c>
      <c r="F9" s="8"/>
      <c r="G9" s="8"/>
      <c r="H9" s="8"/>
      <c r="I9" s="8"/>
      <c r="J9" s="8"/>
    </row>
    <row r="10" spans="1:14" x14ac:dyDescent="0.25">
      <c r="F10" s="8"/>
      <c r="G10" s="8"/>
      <c r="H10" s="8"/>
      <c r="I10" s="8"/>
      <c r="J10" s="8"/>
    </row>
    <row r="13" spans="1:14" x14ac:dyDescent="0.25">
      <c r="F13" s="9" t="s">
        <v>19</v>
      </c>
      <c r="G13" s="8"/>
      <c r="H13" s="8"/>
      <c r="I13" s="8"/>
      <c r="J13" s="8"/>
    </row>
    <row r="14" spans="1:14" x14ac:dyDescent="0.25">
      <c r="F14" s="8"/>
      <c r="G14" s="8"/>
      <c r="H14" s="8"/>
      <c r="I14" s="8"/>
      <c r="J14" s="8"/>
    </row>
    <row r="15" spans="1:14" x14ac:dyDescent="0.25">
      <c r="F15" s="8"/>
      <c r="G15" s="8"/>
      <c r="H15" s="8"/>
      <c r="I15" s="8"/>
      <c r="J15" s="8"/>
    </row>
  </sheetData>
  <mergeCells count="3">
    <mergeCell ref="G2:N3"/>
    <mergeCell ref="F8:J10"/>
    <mergeCell ref="F13:J1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01B5-CF89-4038-9B58-E9EF510D6813}">
  <dimension ref="A1:N19"/>
  <sheetViews>
    <sheetView zoomScale="138" workbookViewId="0">
      <selection activeCell="D17" sqref="D17"/>
    </sheetView>
  </sheetViews>
  <sheetFormatPr defaultRowHeight="15" x14ac:dyDescent="0.25"/>
  <cols>
    <col min="1" max="1" width="15.85546875" customWidth="1"/>
  </cols>
  <sheetData>
    <row r="1" spans="1:14" x14ac:dyDescent="0.25">
      <c r="G1" s="26" t="s">
        <v>22</v>
      </c>
      <c r="H1" s="27"/>
      <c r="I1" s="27"/>
      <c r="J1" s="27"/>
      <c r="K1" s="27"/>
      <c r="L1" s="27"/>
      <c r="M1" s="27"/>
      <c r="N1" s="27"/>
    </row>
    <row r="2" spans="1:14" x14ac:dyDescent="0.25">
      <c r="G2" s="27"/>
      <c r="H2" s="27"/>
      <c r="I2" s="27"/>
      <c r="J2" s="27"/>
      <c r="K2" s="27"/>
      <c r="L2" s="27"/>
      <c r="M2" s="27"/>
      <c r="N2" s="27"/>
    </row>
    <row r="4" spans="1:14" x14ac:dyDescent="0.25">
      <c r="A4" s="12" t="s">
        <v>1</v>
      </c>
      <c r="B4" s="13" t="s">
        <v>2</v>
      </c>
      <c r="C4" s="14" t="s">
        <v>23</v>
      </c>
    </row>
    <row r="5" spans="1:14" x14ac:dyDescent="0.25">
      <c r="A5" s="18" t="s">
        <v>4</v>
      </c>
      <c r="B5" s="4">
        <v>82</v>
      </c>
      <c r="C5" s="19" t="str">
        <f>IF(B5&gt;=75,"A",IF(B5&gt;=60,"B",IF(B5&gt;=40,"C","Fail")))</f>
        <v>A</v>
      </c>
    </row>
    <row r="6" spans="1:14" x14ac:dyDescent="0.25">
      <c r="A6" s="18" t="s">
        <v>5</v>
      </c>
      <c r="B6" s="4">
        <v>67</v>
      </c>
      <c r="C6" s="19" t="str">
        <f t="shared" ref="C6:C9" si="0">IF(B6&gt;=75,"A",IF(B6&gt;=60,"B",IF(B6&gt;=40,"C","Fail")))</f>
        <v>B</v>
      </c>
    </row>
    <row r="7" spans="1:14" x14ac:dyDescent="0.25">
      <c r="A7" s="18" t="s">
        <v>6</v>
      </c>
      <c r="B7" s="4">
        <v>45</v>
      </c>
      <c r="C7" s="19" t="str">
        <f t="shared" si="0"/>
        <v>C</v>
      </c>
    </row>
    <row r="8" spans="1:14" x14ac:dyDescent="0.25">
      <c r="A8" s="18" t="s">
        <v>7</v>
      </c>
      <c r="B8" s="4">
        <v>33</v>
      </c>
      <c r="C8" s="19" t="str">
        <f t="shared" si="0"/>
        <v>Fail</v>
      </c>
    </row>
    <row r="9" spans="1:14" x14ac:dyDescent="0.25">
      <c r="A9" s="23" t="s">
        <v>8</v>
      </c>
      <c r="B9" s="24">
        <v>90</v>
      </c>
      <c r="C9" s="25" t="str">
        <f t="shared" si="0"/>
        <v>A</v>
      </c>
      <c r="F9" s="9" t="s">
        <v>24</v>
      </c>
      <c r="G9" s="8"/>
      <c r="H9" s="8"/>
      <c r="I9" s="8"/>
      <c r="J9" s="8"/>
    </row>
    <row r="10" spans="1:14" x14ac:dyDescent="0.25">
      <c r="F10" s="8"/>
      <c r="G10" s="8"/>
      <c r="H10" s="8"/>
      <c r="I10" s="8"/>
      <c r="J10" s="8"/>
    </row>
    <row r="11" spans="1:14" x14ac:dyDescent="0.25">
      <c r="F11" s="8"/>
      <c r="G11" s="8"/>
      <c r="H11" s="8"/>
      <c r="I11" s="8"/>
      <c r="J11" s="8"/>
    </row>
    <row r="12" spans="1:14" x14ac:dyDescent="0.25">
      <c r="F12" s="8"/>
      <c r="G12" s="8"/>
      <c r="H12" s="8"/>
      <c r="I12" s="8"/>
      <c r="J12" s="8"/>
    </row>
    <row r="13" spans="1:14" x14ac:dyDescent="0.25">
      <c r="F13" s="8"/>
      <c r="G13" s="8"/>
      <c r="H13" s="8"/>
      <c r="I13" s="8"/>
      <c r="J13" s="8"/>
    </row>
    <row r="14" spans="1:14" x14ac:dyDescent="0.25">
      <c r="F14" s="8"/>
      <c r="G14" s="8"/>
      <c r="H14" s="8"/>
      <c r="I14" s="8"/>
      <c r="J14" s="8"/>
    </row>
    <row r="17" spans="6:10" x14ac:dyDescent="0.25">
      <c r="F17" s="9" t="s">
        <v>25</v>
      </c>
      <c r="G17" s="8"/>
      <c r="H17" s="8"/>
      <c r="I17" s="8"/>
      <c r="J17" s="8"/>
    </row>
    <row r="18" spans="6:10" x14ac:dyDescent="0.25">
      <c r="F18" s="8"/>
      <c r="G18" s="8"/>
      <c r="H18" s="8"/>
      <c r="I18" s="8"/>
      <c r="J18" s="8"/>
    </row>
    <row r="19" spans="6:10" x14ac:dyDescent="0.25">
      <c r="F19" s="8"/>
      <c r="G19" s="8"/>
      <c r="H19" s="8"/>
      <c r="I19" s="8"/>
      <c r="J19" s="8"/>
    </row>
  </sheetData>
  <mergeCells count="3">
    <mergeCell ref="G1:N2"/>
    <mergeCell ref="F9:J14"/>
    <mergeCell ref="F17:J1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97BC-90AE-4053-BD1C-032CED1A4A38}">
  <dimension ref="A1:N13"/>
  <sheetViews>
    <sheetView zoomScale="159" workbookViewId="0">
      <selection activeCell="G11" sqref="G11:K13"/>
    </sheetView>
  </sheetViews>
  <sheetFormatPr defaultRowHeight="15" x14ac:dyDescent="0.25"/>
  <cols>
    <col min="3" max="3" width="17.28515625" customWidth="1"/>
    <col min="4" max="4" width="11.42578125" customWidth="1"/>
  </cols>
  <sheetData>
    <row r="1" spans="1:14" x14ac:dyDescent="0.25">
      <c r="G1" s="1" t="s">
        <v>26</v>
      </c>
      <c r="H1" s="2"/>
      <c r="I1" s="2"/>
      <c r="J1" s="2"/>
      <c r="K1" s="2"/>
      <c r="L1" s="2"/>
      <c r="M1" s="2"/>
      <c r="N1" s="2"/>
    </row>
    <row r="2" spans="1:14" x14ac:dyDescent="0.25">
      <c r="G2" s="2"/>
      <c r="H2" s="2"/>
      <c r="I2" s="2"/>
      <c r="J2" s="2"/>
      <c r="K2" s="2"/>
      <c r="L2" s="2"/>
      <c r="M2" s="2"/>
      <c r="N2" s="2"/>
    </row>
    <row r="4" spans="1:14" x14ac:dyDescent="0.25">
      <c r="A4" s="20" t="s">
        <v>27</v>
      </c>
      <c r="B4" s="21" t="s">
        <v>28</v>
      </c>
      <c r="C4" s="21" t="s">
        <v>29</v>
      </c>
      <c r="D4" s="22" t="s">
        <v>30</v>
      </c>
    </row>
    <row r="5" spans="1:14" x14ac:dyDescent="0.25">
      <c r="A5" s="18" t="s">
        <v>14</v>
      </c>
      <c r="B5" s="4">
        <v>25</v>
      </c>
      <c r="C5" s="4">
        <v>2</v>
      </c>
      <c r="D5" s="19" t="str">
        <f>IF(AND(B5&gt;=21,C5&gt;=1),"Eligible","Not Eligible")</f>
        <v>Eligible</v>
      </c>
    </row>
    <row r="6" spans="1:14" x14ac:dyDescent="0.25">
      <c r="A6" s="18" t="s">
        <v>15</v>
      </c>
      <c r="B6" s="4">
        <v>20</v>
      </c>
      <c r="C6" s="4">
        <v>1</v>
      </c>
      <c r="D6" s="19" t="str">
        <f t="shared" ref="D6:D8" si="0">IF(AND(B6&gt;=21,C6&gt;=1),"Eligible","Not Eligible")</f>
        <v>Not Eligible</v>
      </c>
    </row>
    <row r="7" spans="1:14" x14ac:dyDescent="0.25">
      <c r="A7" s="18" t="s">
        <v>16</v>
      </c>
      <c r="B7" s="4">
        <v>30</v>
      </c>
      <c r="C7" s="4">
        <v>5</v>
      </c>
      <c r="D7" s="19" t="str">
        <f t="shared" si="0"/>
        <v>Eligible</v>
      </c>
      <c r="G7" s="9" t="s">
        <v>31</v>
      </c>
      <c r="H7" s="8"/>
      <c r="I7" s="8"/>
      <c r="J7" s="8"/>
      <c r="K7" s="8"/>
    </row>
    <row r="8" spans="1:14" x14ac:dyDescent="0.25">
      <c r="A8" s="23" t="s">
        <v>17</v>
      </c>
      <c r="B8" s="24">
        <v>22</v>
      </c>
      <c r="C8" s="24">
        <v>0</v>
      </c>
      <c r="D8" s="25" t="str">
        <f t="shared" si="0"/>
        <v>Not Eligible</v>
      </c>
      <c r="G8" s="8"/>
      <c r="H8" s="8"/>
      <c r="I8" s="8"/>
      <c r="J8" s="8"/>
      <c r="K8" s="8"/>
    </row>
    <row r="9" spans="1:14" x14ac:dyDescent="0.25">
      <c r="G9" s="8"/>
      <c r="H9" s="8"/>
      <c r="I9" s="8"/>
      <c r="J9" s="8"/>
      <c r="K9" s="8"/>
    </row>
    <row r="11" spans="1:14" x14ac:dyDescent="0.25">
      <c r="G11" s="9" t="s">
        <v>32</v>
      </c>
      <c r="H11" s="8"/>
      <c r="I11" s="8"/>
      <c r="J11" s="8"/>
      <c r="K11" s="8"/>
    </row>
    <row r="12" spans="1:14" x14ac:dyDescent="0.25">
      <c r="G12" s="8"/>
      <c r="H12" s="8"/>
      <c r="I12" s="8"/>
      <c r="J12" s="8"/>
      <c r="K12" s="8"/>
    </row>
    <row r="13" spans="1:14" x14ac:dyDescent="0.25">
      <c r="G13" s="8"/>
      <c r="H13" s="8"/>
      <c r="I13" s="8"/>
      <c r="J13" s="8"/>
      <c r="K13" s="8"/>
    </row>
  </sheetData>
  <mergeCells count="3">
    <mergeCell ref="G1:N2"/>
    <mergeCell ref="G7:K9"/>
    <mergeCell ref="G11:K1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E627-1289-4F81-9458-06999569DB0B}">
  <dimension ref="A1:N14"/>
  <sheetViews>
    <sheetView zoomScale="150" workbookViewId="0">
      <selection activeCell="D24" sqref="D24"/>
    </sheetView>
  </sheetViews>
  <sheetFormatPr defaultRowHeight="15" x14ac:dyDescent="0.25"/>
  <cols>
    <col min="1" max="1" width="14.42578125" customWidth="1"/>
    <col min="2" max="2" width="14.140625" style="33" customWidth="1"/>
    <col min="3" max="3" width="21.5703125" customWidth="1"/>
    <col min="4" max="4" width="11" customWidth="1"/>
  </cols>
  <sheetData>
    <row r="1" spans="1:14" x14ac:dyDescent="0.25">
      <c r="G1" s="1" t="s">
        <v>33</v>
      </c>
      <c r="H1" s="2"/>
      <c r="I1" s="2"/>
      <c r="J1" s="2"/>
      <c r="K1" s="2"/>
      <c r="L1" s="2"/>
      <c r="M1" s="2"/>
      <c r="N1" s="2"/>
    </row>
    <row r="2" spans="1:14" x14ac:dyDescent="0.25">
      <c r="G2" s="2"/>
      <c r="H2" s="2"/>
      <c r="I2" s="2"/>
      <c r="J2" s="2"/>
      <c r="K2" s="2"/>
      <c r="L2" s="2"/>
      <c r="M2" s="2"/>
      <c r="N2" s="2"/>
    </row>
    <row r="4" spans="1:14" x14ac:dyDescent="0.25">
      <c r="A4" s="12" t="s">
        <v>1</v>
      </c>
      <c r="B4" s="21" t="s">
        <v>34</v>
      </c>
      <c r="C4" s="13" t="s">
        <v>35</v>
      </c>
      <c r="D4" s="14" t="s">
        <v>30</v>
      </c>
    </row>
    <row r="5" spans="1:14" x14ac:dyDescent="0.25">
      <c r="A5" s="10" t="s">
        <v>4</v>
      </c>
      <c r="B5" s="4">
        <v>85</v>
      </c>
      <c r="C5" s="3" t="s">
        <v>36</v>
      </c>
      <c r="D5" s="11" t="str">
        <f>IF(AND(B5&gt;=75,C5&gt;="Yes"),"Eligible","Not Eligible")</f>
        <v>Eligible</v>
      </c>
    </row>
    <row r="6" spans="1:14" x14ac:dyDescent="0.25">
      <c r="A6" s="10" t="s">
        <v>5</v>
      </c>
      <c r="B6" s="4">
        <v>72</v>
      </c>
      <c r="C6" s="3" t="s">
        <v>36</v>
      </c>
      <c r="D6" s="11" t="str">
        <f t="shared" ref="D6:D8" si="0">IF(AND(B6&gt;=75,C6&gt;="Yes"),"Eligible","Not Eligible")</f>
        <v>Not Eligible</v>
      </c>
    </row>
    <row r="7" spans="1:14" x14ac:dyDescent="0.25">
      <c r="A7" s="10" t="s">
        <v>6</v>
      </c>
      <c r="B7" s="4">
        <v>90</v>
      </c>
      <c r="C7" s="3" t="s">
        <v>37</v>
      </c>
      <c r="D7" s="11" t="str">
        <f t="shared" si="0"/>
        <v>Not Eligible</v>
      </c>
      <c r="G7" s="9" t="s">
        <v>38</v>
      </c>
      <c r="H7" s="8"/>
      <c r="I7" s="8"/>
      <c r="J7" s="8"/>
      <c r="K7" s="8"/>
    </row>
    <row r="8" spans="1:14" x14ac:dyDescent="0.25">
      <c r="A8" s="15" t="s">
        <v>7</v>
      </c>
      <c r="B8" s="24">
        <v>80</v>
      </c>
      <c r="C8" s="16" t="s">
        <v>36</v>
      </c>
      <c r="D8" s="17" t="str">
        <f t="shared" si="0"/>
        <v>Eligible</v>
      </c>
      <c r="G8" s="8"/>
      <c r="H8" s="8"/>
      <c r="I8" s="8"/>
      <c r="J8" s="8"/>
      <c r="K8" s="8"/>
    </row>
    <row r="9" spans="1:14" x14ac:dyDescent="0.25">
      <c r="G9" s="8"/>
      <c r="H9" s="8"/>
      <c r="I9" s="8"/>
      <c r="J9" s="8"/>
      <c r="K9" s="8"/>
    </row>
    <row r="11" spans="1:14" x14ac:dyDescent="0.25">
      <c r="G11" s="35" t="s">
        <v>48</v>
      </c>
      <c r="H11" s="34"/>
      <c r="I11" s="34"/>
      <c r="J11" s="34"/>
      <c r="K11" s="34"/>
    </row>
    <row r="12" spans="1:14" x14ac:dyDescent="0.25">
      <c r="G12" s="34"/>
      <c r="H12" s="34"/>
      <c r="I12" s="34"/>
      <c r="J12" s="34"/>
      <c r="K12" s="34"/>
    </row>
    <row r="13" spans="1:14" x14ac:dyDescent="0.25">
      <c r="G13" s="34"/>
      <c r="H13" s="34"/>
      <c r="I13" s="34"/>
      <c r="J13" s="34"/>
      <c r="K13" s="34"/>
    </row>
    <row r="14" spans="1:14" x14ac:dyDescent="0.25">
      <c r="G14" s="36"/>
      <c r="H14" s="36"/>
      <c r="I14" s="36"/>
      <c r="J14" s="36"/>
      <c r="K14" s="36"/>
    </row>
  </sheetData>
  <mergeCells count="4">
    <mergeCell ref="G1:N2"/>
    <mergeCell ref="G7:K9"/>
    <mergeCell ref="G11:K13"/>
    <mergeCell ref="G14:K1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C3E1-2C53-48D7-918C-23EBABBF3769}">
  <dimension ref="A1:M15"/>
  <sheetViews>
    <sheetView zoomScale="157" workbookViewId="0">
      <selection activeCell="G13" sqref="G13:J15"/>
    </sheetView>
  </sheetViews>
  <sheetFormatPr defaultRowHeight="15" x14ac:dyDescent="0.25"/>
  <cols>
    <col min="1" max="1" width="15.7109375" customWidth="1"/>
    <col min="2" max="2" width="17" customWidth="1"/>
    <col min="3" max="3" width="12.7109375" customWidth="1"/>
    <col min="4" max="4" width="12.28515625" customWidth="1"/>
  </cols>
  <sheetData>
    <row r="1" spans="1:13" x14ac:dyDescent="0.25">
      <c r="G1" s="1" t="s">
        <v>39</v>
      </c>
      <c r="H1" s="2"/>
      <c r="I1" s="2"/>
      <c r="J1" s="2"/>
      <c r="K1" s="2"/>
      <c r="L1" s="2"/>
      <c r="M1" s="2"/>
    </row>
    <row r="2" spans="1:13" x14ac:dyDescent="0.25">
      <c r="G2" s="2"/>
      <c r="H2" s="2"/>
      <c r="I2" s="2"/>
      <c r="J2" s="2"/>
      <c r="K2" s="2"/>
      <c r="L2" s="2"/>
      <c r="M2" s="2"/>
    </row>
    <row r="4" spans="1:13" x14ac:dyDescent="0.25">
      <c r="A4" s="20" t="s">
        <v>40</v>
      </c>
      <c r="B4" s="21" t="s">
        <v>41</v>
      </c>
      <c r="C4" s="21" t="s">
        <v>42</v>
      </c>
      <c r="D4" s="22" t="s">
        <v>43</v>
      </c>
    </row>
    <row r="5" spans="1:13" x14ac:dyDescent="0.25">
      <c r="A5" s="18" t="s">
        <v>44</v>
      </c>
      <c r="B5" s="4">
        <v>9000</v>
      </c>
      <c r="C5" s="4" t="s">
        <v>37</v>
      </c>
      <c r="D5" s="19" t="str">
        <f>IF(OR(B5&gt;=10000,C5&gt;="Yes"),"Discount","Not Discount")</f>
        <v>Not Discount</v>
      </c>
    </row>
    <row r="6" spans="1:13" x14ac:dyDescent="0.25">
      <c r="A6" s="18" t="s">
        <v>45</v>
      </c>
      <c r="B6" s="4">
        <v>12000</v>
      </c>
      <c r="C6" s="4" t="s">
        <v>37</v>
      </c>
      <c r="D6" s="19" t="str">
        <f t="shared" ref="D6:D8" si="0">IF(OR(B6&gt;=10000,C6&gt;="Yes"),"Discount","Not Discount")</f>
        <v>Discount</v>
      </c>
    </row>
    <row r="7" spans="1:13" x14ac:dyDescent="0.25">
      <c r="A7" s="18" t="s">
        <v>6</v>
      </c>
      <c r="B7" s="4">
        <v>4000</v>
      </c>
      <c r="C7" s="4" t="s">
        <v>36</v>
      </c>
      <c r="D7" s="19" t="str">
        <f t="shared" si="0"/>
        <v>Discount</v>
      </c>
    </row>
    <row r="8" spans="1:13" x14ac:dyDescent="0.25">
      <c r="A8" s="23" t="s">
        <v>46</v>
      </c>
      <c r="B8" s="24">
        <v>3000</v>
      </c>
      <c r="C8" s="24" t="s">
        <v>37</v>
      </c>
      <c r="D8" s="25" t="str">
        <f t="shared" si="0"/>
        <v>Not Discount</v>
      </c>
      <c r="G8" s="9" t="s">
        <v>47</v>
      </c>
      <c r="H8" s="8"/>
      <c r="I8" s="8"/>
      <c r="J8" s="8"/>
    </row>
    <row r="9" spans="1:13" x14ac:dyDescent="0.25">
      <c r="G9" s="8"/>
      <c r="H9" s="8"/>
      <c r="I9" s="8"/>
      <c r="J9" s="8"/>
    </row>
    <row r="10" spans="1:13" x14ac:dyDescent="0.25">
      <c r="G10" s="8"/>
      <c r="H10" s="8"/>
      <c r="I10" s="8"/>
      <c r="J10" s="8"/>
    </row>
    <row r="13" spans="1:13" x14ac:dyDescent="0.25">
      <c r="G13" s="9" t="s">
        <v>49</v>
      </c>
      <c r="H13" s="8"/>
      <c r="I13" s="8"/>
      <c r="J13" s="8"/>
    </row>
    <row r="14" spans="1:13" x14ac:dyDescent="0.25">
      <c r="G14" s="8"/>
      <c r="H14" s="8"/>
      <c r="I14" s="8"/>
      <c r="J14" s="8"/>
    </row>
    <row r="15" spans="1:13" x14ac:dyDescent="0.25">
      <c r="G15" s="8"/>
      <c r="H15" s="8"/>
      <c r="I15" s="8"/>
      <c r="J15" s="8"/>
    </row>
  </sheetData>
  <mergeCells count="3">
    <mergeCell ref="G1:M2"/>
    <mergeCell ref="G8:J10"/>
    <mergeCell ref="G13:J15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13BB-8C17-46F3-9874-1F19DE1FAEAB}">
  <dimension ref="A1:M15"/>
  <sheetViews>
    <sheetView zoomScale="134" workbookViewId="0">
      <selection activeCell="E15" sqref="E15"/>
    </sheetView>
  </sheetViews>
  <sheetFormatPr defaultRowHeight="15" x14ac:dyDescent="0.25"/>
  <cols>
    <col min="1" max="1" width="10.85546875" customWidth="1"/>
    <col min="3" max="3" width="12" customWidth="1"/>
    <col min="4" max="4" width="14" customWidth="1"/>
  </cols>
  <sheetData>
    <row r="1" spans="1:13" x14ac:dyDescent="0.25">
      <c r="G1" s="1" t="s">
        <v>50</v>
      </c>
      <c r="H1" s="2"/>
      <c r="I1" s="2"/>
      <c r="J1" s="2"/>
      <c r="K1" s="2"/>
      <c r="L1" s="2"/>
      <c r="M1" s="2"/>
    </row>
    <row r="2" spans="1:13" x14ac:dyDescent="0.25">
      <c r="G2" s="2"/>
      <c r="H2" s="2"/>
      <c r="I2" s="2"/>
      <c r="J2" s="2"/>
      <c r="K2" s="2"/>
      <c r="L2" s="2"/>
      <c r="M2" s="2"/>
    </row>
    <row r="4" spans="1:13" x14ac:dyDescent="0.25">
      <c r="A4" s="20" t="s">
        <v>51</v>
      </c>
      <c r="B4" s="21" t="s">
        <v>12</v>
      </c>
      <c r="C4" s="21" t="s">
        <v>52</v>
      </c>
      <c r="D4" s="22" t="s">
        <v>53</v>
      </c>
    </row>
    <row r="5" spans="1:13" x14ac:dyDescent="0.25">
      <c r="A5" s="18" t="s">
        <v>14</v>
      </c>
      <c r="B5" s="4">
        <v>35000</v>
      </c>
      <c r="C5" s="4">
        <v>720</v>
      </c>
      <c r="D5" s="19" t="str">
        <f>IF(OR(B5&gt;=40000,C5&gt;=700),"approval","Not Approval")</f>
        <v>approval</v>
      </c>
    </row>
    <row r="6" spans="1:13" x14ac:dyDescent="0.25">
      <c r="A6" s="18" t="s">
        <v>15</v>
      </c>
      <c r="B6" s="4">
        <v>25000</v>
      </c>
      <c r="C6" s="4">
        <v>680</v>
      </c>
      <c r="D6" s="19" t="str">
        <f t="shared" ref="D6:D8" si="0">IF(OR(B6&gt;=40000,C6&gt;=700),"approval","Not Approval")</f>
        <v>Not Approval</v>
      </c>
    </row>
    <row r="7" spans="1:13" x14ac:dyDescent="0.25">
      <c r="A7" s="18" t="s">
        <v>16</v>
      </c>
      <c r="B7" s="4">
        <v>50000</v>
      </c>
      <c r="C7" s="4">
        <v>650</v>
      </c>
      <c r="D7" s="19" t="str">
        <f t="shared" si="0"/>
        <v>approval</v>
      </c>
    </row>
    <row r="8" spans="1:13" x14ac:dyDescent="0.25">
      <c r="A8" s="23" t="s">
        <v>17</v>
      </c>
      <c r="B8" s="24">
        <v>20000</v>
      </c>
      <c r="C8" s="24">
        <v>600</v>
      </c>
      <c r="D8" s="25" t="str">
        <f t="shared" si="0"/>
        <v>Not Approval</v>
      </c>
      <c r="H8" s="9" t="s">
        <v>54</v>
      </c>
      <c r="I8" s="8"/>
      <c r="J8" s="8"/>
      <c r="K8" s="8"/>
      <c r="L8" s="8"/>
    </row>
    <row r="9" spans="1:13" x14ac:dyDescent="0.25">
      <c r="H9" s="8"/>
      <c r="I9" s="8"/>
      <c r="J9" s="8"/>
      <c r="K9" s="8"/>
      <c r="L9" s="8"/>
    </row>
    <row r="10" spans="1:13" x14ac:dyDescent="0.25">
      <c r="H10" s="8"/>
      <c r="I10" s="8"/>
      <c r="J10" s="8"/>
      <c r="K10" s="8"/>
      <c r="L10" s="8"/>
    </row>
    <row r="13" spans="1:13" x14ac:dyDescent="0.25">
      <c r="H13" s="9" t="s">
        <v>55</v>
      </c>
      <c r="I13" s="8"/>
      <c r="J13" s="8"/>
      <c r="K13" s="8"/>
      <c r="L13" s="8"/>
    </row>
    <row r="14" spans="1:13" x14ac:dyDescent="0.25">
      <c r="H14" s="8"/>
      <c r="I14" s="8"/>
      <c r="J14" s="8"/>
      <c r="K14" s="8"/>
      <c r="L14" s="8"/>
    </row>
    <row r="15" spans="1:13" x14ac:dyDescent="0.25">
      <c r="H15" s="8"/>
      <c r="I15" s="8"/>
      <c r="J15" s="8"/>
      <c r="K15" s="8"/>
      <c r="L15" s="8"/>
    </row>
  </sheetData>
  <mergeCells count="3">
    <mergeCell ref="G1:M2"/>
    <mergeCell ref="H8:L10"/>
    <mergeCell ref="H13:L15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C8BB-0F5A-4035-9243-DB641BF60F86}">
  <dimension ref="A1:N15"/>
  <sheetViews>
    <sheetView zoomScale="132" workbookViewId="0">
      <selection activeCell="E13" sqref="E13"/>
    </sheetView>
  </sheetViews>
  <sheetFormatPr defaultRowHeight="15" x14ac:dyDescent="0.25"/>
  <sheetData>
    <row r="1" spans="1:14" x14ac:dyDescent="0.25">
      <c r="G1" s="1" t="s">
        <v>56</v>
      </c>
      <c r="H1" s="2"/>
      <c r="I1" s="2"/>
      <c r="J1" s="2"/>
      <c r="K1" s="2"/>
      <c r="L1" s="2"/>
      <c r="M1" s="2"/>
      <c r="N1" s="2"/>
    </row>
    <row r="2" spans="1:14" x14ac:dyDescent="0.25">
      <c r="G2" s="2"/>
      <c r="H2" s="2"/>
      <c r="I2" s="2"/>
      <c r="J2" s="2"/>
      <c r="K2" s="2"/>
      <c r="L2" s="2"/>
      <c r="M2" s="2"/>
      <c r="N2" s="2"/>
    </row>
    <row r="4" spans="1:14" x14ac:dyDescent="0.25">
      <c r="A4" s="20" t="s">
        <v>27</v>
      </c>
      <c r="B4" s="21" t="s">
        <v>57</v>
      </c>
      <c r="C4" s="22" t="s">
        <v>58</v>
      </c>
    </row>
    <row r="5" spans="1:14" x14ac:dyDescent="0.25">
      <c r="A5" s="18" t="s">
        <v>4</v>
      </c>
      <c r="B5" s="4" t="b">
        <v>1</v>
      </c>
      <c r="C5" s="19" t="str">
        <f>IF(NOT(B5),"Absent","Present")</f>
        <v>Present</v>
      </c>
    </row>
    <row r="6" spans="1:14" x14ac:dyDescent="0.25">
      <c r="A6" s="18" t="s">
        <v>5</v>
      </c>
      <c r="B6" s="4" t="b">
        <v>0</v>
      </c>
      <c r="C6" s="19" t="str">
        <f t="shared" ref="C6:C8" si="0">IF(NOT(B6),"Absent","Present")</f>
        <v>Absent</v>
      </c>
    </row>
    <row r="7" spans="1:14" x14ac:dyDescent="0.25">
      <c r="A7" s="18" t="s">
        <v>6</v>
      </c>
      <c r="B7" s="4" t="b">
        <v>1</v>
      </c>
      <c r="C7" s="19" t="str">
        <f t="shared" si="0"/>
        <v>Present</v>
      </c>
    </row>
    <row r="8" spans="1:14" x14ac:dyDescent="0.25">
      <c r="A8" s="23" t="s">
        <v>7</v>
      </c>
      <c r="B8" s="24" t="b">
        <v>0</v>
      </c>
      <c r="C8" s="25" t="str">
        <f t="shared" si="0"/>
        <v>Absent</v>
      </c>
      <c r="H8" s="9" t="s">
        <v>59</v>
      </c>
      <c r="I8" s="8"/>
      <c r="J8" s="8"/>
      <c r="K8" s="8"/>
      <c r="L8" s="8"/>
    </row>
    <row r="9" spans="1:14" x14ac:dyDescent="0.25">
      <c r="H9" s="8"/>
      <c r="I9" s="8"/>
      <c r="J9" s="8"/>
      <c r="K9" s="8"/>
      <c r="L9" s="8"/>
    </row>
    <row r="10" spans="1:14" x14ac:dyDescent="0.25">
      <c r="H10" s="8"/>
      <c r="I10" s="8"/>
      <c r="J10" s="8"/>
      <c r="K10" s="8"/>
      <c r="L10" s="8"/>
    </row>
    <row r="13" spans="1:14" x14ac:dyDescent="0.25">
      <c r="H13" s="9" t="s">
        <v>60</v>
      </c>
      <c r="I13" s="8"/>
      <c r="J13" s="8"/>
      <c r="K13" s="8"/>
      <c r="L13" s="8"/>
    </row>
    <row r="14" spans="1:14" x14ac:dyDescent="0.25">
      <c r="H14" s="8"/>
      <c r="I14" s="8"/>
      <c r="J14" s="8"/>
      <c r="K14" s="8"/>
      <c r="L14" s="8"/>
    </row>
    <row r="15" spans="1:14" x14ac:dyDescent="0.25">
      <c r="H15" s="8"/>
      <c r="I15" s="8"/>
      <c r="J15" s="8"/>
      <c r="K15" s="8"/>
      <c r="L15" s="8"/>
    </row>
  </sheetData>
  <mergeCells count="3">
    <mergeCell ref="G1:N2"/>
    <mergeCell ref="H8:L10"/>
    <mergeCell ref="H13:L1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C5C6-B768-44F8-AA6C-74129D54F965}">
  <dimension ref="A1:M14"/>
  <sheetViews>
    <sheetView zoomScale="128" workbookViewId="0">
      <selection activeCell="I31" sqref="I31"/>
    </sheetView>
  </sheetViews>
  <sheetFormatPr defaultRowHeight="15" x14ac:dyDescent="0.25"/>
  <cols>
    <col min="1" max="2" width="11" customWidth="1"/>
  </cols>
  <sheetData>
    <row r="1" spans="1:13" x14ac:dyDescent="0.25">
      <c r="G1" s="31" t="s">
        <v>61</v>
      </c>
      <c r="H1" s="32"/>
      <c r="I1" s="32"/>
      <c r="J1" s="32"/>
      <c r="K1" s="32"/>
      <c r="L1" s="32"/>
      <c r="M1" s="32"/>
    </row>
    <row r="2" spans="1:13" x14ac:dyDescent="0.25">
      <c r="G2" s="32"/>
      <c r="H2" s="32"/>
      <c r="I2" s="32"/>
      <c r="J2" s="32"/>
      <c r="K2" s="32"/>
      <c r="L2" s="32"/>
      <c r="M2" s="32"/>
    </row>
    <row r="4" spans="1:13" x14ac:dyDescent="0.25">
      <c r="A4" s="20" t="s">
        <v>62</v>
      </c>
      <c r="B4" s="21" t="s">
        <v>63</v>
      </c>
      <c r="C4" s="22" t="s">
        <v>3</v>
      </c>
    </row>
    <row r="5" spans="1:13" x14ac:dyDescent="0.25">
      <c r="A5" s="18">
        <v>10</v>
      </c>
      <c r="B5" s="4">
        <v>2</v>
      </c>
      <c r="C5" s="19">
        <f>IFERROR(A5/B5,"invalid")</f>
        <v>5</v>
      </c>
    </row>
    <row r="6" spans="1:13" x14ac:dyDescent="0.25">
      <c r="A6" s="18">
        <v>15</v>
      </c>
      <c r="B6" s="4">
        <v>0</v>
      </c>
      <c r="C6" s="19" t="str">
        <f t="shared" ref="C6:C8" si="0">IFERROR(A6/B6,"invalid")</f>
        <v>invalid</v>
      </c>
    </row>
    <row r="7" spans="1:13" x14ac:dyDescent="0.25">
      <c r="A7" s="18">
        <v>20</v>
      </c>
      <c r="B7" s="4">
        <v>5</v>
      </c>
      <c r="C7" s="19">
        <f t="shared" si="0"/>
        <v>4</v>
      </c>
      <c r="G7" s="9" t="s">
        <v>64</v>
      </c>
      <c r="H7" s="8"/>
      <c r="I7" s="8"/>
      <c r="J7" s="8"/>
      <c r="K7" s="8"/>
    </row>
    <row r="8" spans="1:13" x14ac:dyDescent="0.25">
      <c r="A8" s="23">
        <v>8</v>
      </c>
      <c r="B8" s="24">
        <v>0</v>
      </c>
      <c r="C8" s="25" t="str">
        <f t="shared" si="0"/>
        <v>invalid</v>
      </c>
      <c r="G8" s="8"/>
      <c r="H8" s="8"/>
      <c r="I8" s="8"/>
      <c r="J8" s="8"/>
      <c r="K8" s="8"/>
    </row>
    <row r="9" spans="1:13" x14ac:dyDescent="0.25">
      <c r="G9" s="8"/>
      <c r="H9" s="8"/>
      <c r="I9" s="8"/>
      <c r="J9" s="8"/>
      <c r="K9" s="8"/>
    </row>
    <row r="12" spans="1:13" x14ac:dyDescent="0.25">
      <c r="G12" s="9" t="s">
        <v>65</v>
      </c>
      <c r="H12" s="8"/>
      <c r="I12" s="8"/>
      <c r="J12" s="8"/>
      <c r="K12" s="8"/>
    </row>
    <row r="13" spans="1:13" x14ac:dyDescent="0.25">
      <c r="G13" s="8"/>
      <c r="H13" s="8"/>
      <c r="I13" s="8"/>
      <c r="J13" s="8"/>
      <c r="K13" s="8"/>
    </row>
    <row r="14" spans="1:13" x14ac:dyDescent="0.25">
      <c r="G14" s="8"/>
      <c r="H14" s="8"/>
      <c r="I14" s="8"/>
      <c r="J14" s="8"/>
      <c r="K14" s="8"/>
    </row>
  </sheetData>
  <mergeCells count="3">
    <mergeCell ref="G1:M2"/>
    <mergeCell ref="G7:K9"/>
    <mergeCell ref="G12:K14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3014-7DD6-4F99-B5F1-5327A351BE2B}">
  <dimension ref="A1:M18"/>
  <sheetViews>
    <sheetView zoomScale="130" workbookViewId="0">
      <selection activeCell="D15" sqref="D15"/>
    </sheetView>
  </sheetViews>
  <sheetFormatPr defaultRowHeight="15" x14ac:dyDescent="0.25"/>
  <cols>
    <col min="1" max="1" width="16" customWidth="1"/>
    <col min="2" max="2" width="16.85546875" customWidth="1"/>
    <col min="3" max="3" width="14" customWidth="1"/>
    <col min="4" max="4" width="17" customWidth="1"/>
  </cols>
  <sheetData>
    <row r="1" spans="1:13" x14ac:dyDescent="0.25">
      <c r="G1" s="37" t="s">
        <v>66</v>
      </c>
      <c r="H1" s="37"/>
      <c r="I1" s="37"/>
      <c r="J1" s="37"/>
      <c r="K1" s="37"/>
      <c r="L1" s="37"/>
      <c r="M1" s="37"/>
    </row>
    <row r="2" spans="1:13" x14ac:dyDescent="0.25">
      <c r="G2" s="37"/>
      <c r="H2" s="37"/>
      <c r="I2" s="37"/>
      <c r="J2" s="37"/>
      <c r="K2" s="37"/>
      <c r="L2" s="37"/>
      <c r="M2" s="37"/>
    </row>
    <row r="4" spans="1:13" x14ac:dyDescent="0.25">
      <c r="A4" s="20" t="s">
        <v>11</v>
      </c>
      <c r="B4" s="21" t="s">
        <v>67</v>
      </c>
      <c r="C4" s="21" t="s">
        <v>34</v>
      </c>
      <c r="D4" s="22" t="s">
        <v>68</v>
      </c>
    </row>
    <row r="5" spans="1:13" x14ac:dyDescent="0.25">
      <c r="A5" s="18" t="s">
        <v>69</v>
      </c>
      <c r="B5" s="4">
        <v>45</v>
      </c>
      <c r="C5" s="4">
        <v>92</v>
      </c>
      <c r="D5" s="19" t="str">
        <f>IF(AND(C5&gt;=90,B5&gt;=40),"excellent",IF(C5&gt;=80,"good","need improvement"))</f>
        <v>excellent</v>
      </c>
    </row>
    <row r="6" spans="1:13" x14ac:dyDescent="0.25">
      <c r="A6" s="18" t="s">
        <v>70</v>
      </c>
      <c r="B6" s="4">
        <v>38</v>
      </c>
      <c r="C6" s="4">
        <v>85</v>
      </c>
      <c r="D6" s="19" t="str">
        <f t="shared" ref="D6:D8" si="0">IF(AND(C6&gt;=90,B6&gt;=40),"excellent",IF(C6&gt;=80,"good","need improvement"))</f>
        <v>good</v>
      </c>
    </row>
    <row r="7" spans="1:13" x14ac:dyDescent="0.25">
      <c r="A7" s="18" t="s">
        <v>71</v>
      </c>
      <c r="B7" s="4">
        <v>50</v>
      </c>
      <c r="C7" s="4">
        <v>95</v>
      </c>
      <c r="D7" s="19" t="str">
        <f t="shared" si="0"/>
        <v>excellent</v>
      </c>
      <c r="H7" s="38" t="s">
        <v>73</v>
      </c>
      <c r="I7" s="39"/>
      <c r="J7" s="39"/>
      <c r="K7" s="39"/>
      <c r="L7" s="39"/>
      <c r="M7" s="39"/>
    </row>
    <row r="8" spans="1:13" x14ac:dyDescent="0.25">
      <c r="A8" s="23" t="s">
        <v>72</v>
      </c>
      <c r="B8" s="24">
        <v>30</v>
      </c>
      <c r="C8" s="24">
        <v>70</v>
      </c>
      <c r="D8" s="25" t="str">
        <f t="shared" si="0"/>
        <v>need improvement</v>
      </c>
      <c r="H8" s="39"/>
      <c r="I8" s="39"/>
      <c r="J8" s="39"/>
      <c r="K8" s="39"/>
      <c r="L8" s="39"/>
      <c r="M8" s="39"/>
    </row>
    <row r="9" spans="1:13" x14ac:dyDescent="0.25">
      <c r="H9" s="39"/>
      <c r="I9" s="39"/>
      <c r="J9" s="39"/>
      <c r="K9" s="39"/>
      <c r="L9" s="39"/>
      <c r="M9" s="39"/>
    </row>
    <row r="10" spans="1:13" x14ac:dyDescent="0.25">
      <c r="H10" s="39"/>
      <c r="I10" s="39"/>
      <c r="J10" s="39"/>
      <c r="K10" s="39"/>
      <c r="L10" s="39"/>
      <c r="M10" s="39"/>
    </row>
    <row r="11" spans="1:13" x14ac:dyDescent="0.25">
      <c r="H11" s="39"/>
      <c r="I11" s="39"/>
      <c r="J11" s="39"/>
      <c r="K11" s="39"/>
      <c r="L11" s="39"/>
      <c r="M11" s="39"/>
    </row>
    <row r="14" spans="1:13" x14ac:dyDescent="0.25">
      <c r="H14" s="9" t="s">
        <v>74</v>
      </c>
      <c r="I14" s="8"/>
      <c r="J14" s="8"/>
      <c r="K14" s="8"/>
      <c r="L14" s="8"/>
      <c r="M14" s="8"/>
    </row>
    <row r="15" spans="1:13" x14ac:dyDescent="0.25">
      <c r="H15" s="8"/>
      <c r="I15" s="8"/>
      <c r="J15" s="8"/>
      <c r="K15" s="8"/>
      <c r="L15" s="8"/>
      <c r="M15" s="8"/>
    </row>
    <row r="16" spans="1:13" x14ac:dyDescent="0.25">
      <c r="H16" s="8"/>
      <c r="I16" s="8"/>
      <c r="J16" s="8"/>
      <c r="K16" s="8"/>
      <c r="L16" s="8"/>
      <c r="M16" s="8"/>
    </row>
    <row r="17" spans="8:13" x14ac:dyDescent="0.25">
      <c r="H17" s="8"/>
      <c r="I17" s="8"/>
      <c r="J17" s="8"/>
      <c r="K17" s="8"/>
      <c r="L17" s="8"/>
      <c r="M17" s="8"/>
    </row>
    <row r="18" spans="8:13" x14ac:dyDescent="0.25">
      <c r="H18" s="8"/>
      <c r="I18" s="8"/>
      <c r="J18" s="8"/>
      <c r="K18" s="8"/>
      <c r="L18" s="8"/>
      <c r="M18" s="8"/>
    </row>
  </sheetData>
  <mergeCells count="3">
    <mergeCell ref="G1:M2"/>
    <mergeCell ref="H7:M11"/>
    <mergeCell ref="H14:M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heli</dc:creator>
  <cp:lastModifiedBy>patel heli</cp:lastModifiedBy>
  <dcterms:created xsi:type="dcterms:W3CDTF">2026-06-25T07:56:13Z</dcterms:created>
  <dcterms:modified xsi:type="dcterms:W3CDTF">2026-06-25T13:56:36Z</dcterms:modified>
</cp:coreProperties>
</file>