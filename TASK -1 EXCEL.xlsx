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5b2df6195c0c3d/Documents/"/>
    </mc:Choice>
  </mc:AlternateContent>
  <xr:revisionPtr revIDLastSave="0" documentId="8_{8A0C9957-801F-4DC8-86B5-08BD93D5D923}" xr6:coauthVersionLast="47" xr6:coauthVersionMax="47" xr10:uidLastSave="{00000000-0000-0000-0000-000000000000}"/>
  <bookViews>
    <workbookView xWindow="-120" yWindow="-120" windowWidth="29040" windowHeight="17520" xr2:uid="{585E399A-9941-4993-B381-607438531E8D}"/>
  </bookViews>
  <sheets>
    <sheet name="Sheet1" sheetId="1" r:id="rId1"/>
    <sheet name="Sheet2" sheetId="4" r:id="rId2"/>
    <sheet name="Sheet3" sheetId="3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A9" i="4"/>
  <c r="A10" i="4"/>
  <c r="A11" i="4"/>
  <c r="A12" i="4"/>
  <c r="A13" i="4"/>
  <c r="D28" i="7"/>
  <c r="D27" i="7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10" i="11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10" i="10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10" i="9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11" i="8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9" i="7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B11" i="6"/>
  <c r="A11" i="6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1048576" i="5" s="1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F6" i="3"/>
  <c r="F7" i="3"/>
  <c r="F8" i="3"/>
  <c r="F9" i="3"/>
  <c r="F5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E10" i="3"/>
  <c r="D10" i="3"/>
  <c r="C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10" i="3"/>
  <c r="A14" i="4"/>
  <c r="A15" i="4"/>
  <c r="A16" i="4"/>
  <c r="A17" i="4"/>
  <c r="A18" i="4"/>
  <c r="A19" i="4"/>
  <c r="A20" i="4"/>
  <c r="A21" i="4"/>
  <c r="A22" i="4"/>
  <c r="A23" i="4"/>
  <c r="A24" i="4"/>
  <c r="A25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9" i="4"/>
  <c r="C27" i="8" l="1"/>
  <c r="C26" i="8"/>
  <c r="C31" i="6"/>
  <c r="C30" i="6"/>
  <c r="C29" i="6"/>
  <c r="C27" i="6"/>
  <c r="C28" i="6"/>
  <c r="C25" i="5"/>
  <c r="C28" i="5"/>
  <c r="C27" i="5"/>
  <c r="C26" i="5"/>
  <c r="F19" i="3"/>
  <c r="F22" i="3"/>
  <c r="F18" i="3"/>
  <c r="F21" i="3"/>
  <c r="F17" i="3"/>
  <c r="F10" i="3"/>
  <c r="F16" i="3"/>
  <c r="F15" i="3"/>
  <c r="F14" i="3"/>
  <c r="F23" i="3"/>
  <c r="F20" i="3"/>
  <c r="F11" i="3"/>
  <c r="F13" i="3"/>
  <c r="F12" i="3"/>
  <c r="F25" i="3"/>
  <c r="F24" i="3"/>
</calcChain>
</file>

<file path=xl/sharedStrings.xml><?xml version="1.0" encoding="utf-8"?>
<sst xmlns="http://schemas.openxmlformats.org/spreadsheetml/2006/main" count="337" uniqueCount="167">
  <si>
    <t>Employee ID</t>
  </si>
  <si>
    <t>Name</t>
  </si>
  <si>
    <t>Department</t>
  </si>
  <si>
    <t>Salary</t>
  </si>
  <si>
    <t>Joining Date</t>
  </si>
  <si>
    <t>Amit Sharma</t>
  </si>
  <si>
    <t>HR</t>
  </si>
  <si>
    <t>Neha Verma</t>
  </si>
  <si>
    <t>IT</t>
  </si>
  <si>
    <t>Rahul Mehta</t>
  </si>
  <si>
    <t>Finance</t>
  </si>
  <si>
    <t>Pooja Singh</t>
  </si>
  <si>
    <t>Ankit Patel</t>
  </si>
  <si>
    <t>Sales</t>
  </si>
  <si>
    <r>
      <rPr>
        <u/>
        <sz val="20"/>
        <color theme="1"/>
        <rFont val="Calibri"/>
        <family val="2"/>
        <scheme val="minor"/>
      </rPr>
      <t>Task -1</t>
    </r>
    <r>
      <rPr>
        <sz val="20"/>
        <color theme="1"/>
        <rFont val="Calibri"/>
        <family val="2"/>
        <scheme val="minor"/>
      </rPr>
      <t xml:space="preserve"> Employee Sheet – Basic Formatting</t>
    </r>
  </si>
  <si>
    <t>A</t>
  </si>
  <si>
    <t>E 101</t>
  </si>
  <si>
    <t>E 103</t>
  </si>
  <si>
    <t>E 104</t>
  </si>
  <si>
    <t>E 106</t>
  </si>
  <si>
    <t>E 105</t>
  </si>
  <si>
    <t>E 102</t>
  </si>
  <si>
    <t>E 107</t>
  </si>
  <si>
    <t>E 108</t>
  </si>
  <si>
    <t>E 109</t>
  </si>
  <si>
    <t>E 110</t>
  </si>
  <si>
    <t>E 111</t>
  </si>
  <si>
    <t>E 112</t>
  </si>
  <si>
    <t>E 113</t>
  </si>
  <si>
    <t>E 114</t>
  </si>
  <si>
    <t>E 115</t>
  </si>
  <si>
    <t>E 116</t>
  </si>
  <si>
    <t>E 117</t>
  </si>
  <si>
    <t>E 118</t>
  </si>
  <si>
    <t>E 119</t>
  </si>
  <si>
    <t>E 120</t>
  </si>
  <si>
    <r>
      <rPr>
        <u/>
        <sz val="20"/>
        <color theme="1"/>
        <rFont val="Calibri"/>
        <family val="2"/>
        <scheme val="minor"/>
      </rPr>
      <t>Task - 3</t>
    </r>
    <r>
      <rPr>
        <sz val="20"/>
        <color theme="1"/>
        <rFont val="Calibri"/>
        <family val="2"/>
        <scheme val="minor"/>
      </rPr>
      <t xml:space="preserve"> Student Marks Sheet – Formatting</t>
    </r>
  </si>
  <si>
    <t>Product Name</t>
  </si>
  <si>
    <t>Region</t>
  </si>
  <si>
    <t>Sales Amount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</si>
  <si>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</si>
  <si>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</si>
  <si>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</si>
  <si>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</si>
  <si>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</si>
  <si>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</si>
  <si>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</si>
  <si>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</si>
  <si>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</si>
  <si>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</si>
  <si>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</si>
  <si>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</si>
  <si>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Sales person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</si>
  <si>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</si>
  <si>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</si>
  <si>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</si>
  <si>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</si>
  <si>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</si>
  <si>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</si>
  <si>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</si>
  <si>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</si>
  <si>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</si>
  <si>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</si>
  <si>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</si>
  <si>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r>
      <rPr>
        <u/>
        <sz val="20"/>
        <color theme="1"/>
        <rFont val="Calibri"/>
        <family val="2"/>
        <scheme val="minor"/>
      </rPr>
      <t>Task- 4</t>
    </r>
    <r>
      <rPr>
        <sz val="20"/>
        <color theme="1"/>
        <rFont val="Calibri"/>
        <family val="2"/>
        <scheme val="minor"/>
      </rPr>
      <t xml:space="preserve"> Sales Summary – Aggregation Functions</t>
    </r>
  </si>
  <si>
    <t>Invoice No</t>
  </si>
  <si>
    <t>Date</t>
  </si>
  <si>
    <t>INV001</t>
  </si>
  <si>
    <t>INV002</t>
  </si>
  <si>
    <t>INV003</t>
  </si>
  <si>
    <t>INV004</t>
  </si>
  <si>
    <t>INV005</t>
  </si>
  <si>
    <t>Employee Name</t>
  </si>
  <si>
    <t>Suresh</t>
  </si>
  <si>
    <t>Meena</t>
  </si>
  <si>
    <t>Karan</t>
  </si>
  <si>
    <t>Ritu</t>
  </si>
  <si>
    <t>Aman</t>
  </si>
  <si>
    <t>Neel</t>
  </si>
  <si>
    <r>
      <rPr>
        <u/>
        <sz val="20"/>
        <color theme="1"/>
        <rFont val="Calibri"/>
        <family val="2"/>
        <scheme val="minor"/>
      </rPr>
      <t>Task - 5</t>
    </r>
    <r>
      <rPr>
        <sz val="20"/>
        <color theme="1"/>
        <rFont val="Calibri"/>
        <family val="2"/>
        <scheme val="minor"/>
      </rPr>
      <t xml:space="preserve"> Department-wise Salary Analysis</t>
    </r>
  </si>
  <si>
    <r>
      <rPr>
        <u/>
        <sz val="20"/>
        <color theme="1"/>
        <rFont val="Calibri"/>
        <family val="2"/>
        <scheme val="minor"/>
      </rPr>
      <t>Task - 6</t>
    </r>
    <r>
      <rPr>
        <sz val="20"/>
        <color theme="1"/>
        <rFont val="Calibri"/>
        <family val="2"/>
        <scheme val="minor"/>
      </rPr>
      <t xml:space="preserve"> Attendance Sheet – COUNTIF</t>
    </r>
  </si>
  <si>
    <t>Day 1</t>
  </si>
  <si>
    <t>Day 2</t>
  </si>
  <si>
    <t>Day 3</t>
  </si>
  <si>
    <t>Day 4</t>
  </si>
  <si>
    <t>Day 5</t>
  </si>
  <si>
    <t>P</t>
  </si>
  <si>
    <r>
      <rPr>
        <u/>
        <sz val="20"/>
        <color theme="1"/>
        <rFont val="Calibri"/>
        <family val="2"/>
        <scheme val="minor"/>
      </rPr>
      <t>Task - 7</t>
    </r>
    <r>
      <rPr>
        <sz val="20"/>
        <color theme="1"/>
        <rFont val="Calibri"/>
        <family val="2"/>
        <scheme val="minor"/>
      </rPr>
      <t xml:space="preserve"> Sales Count Logic</t>
    </r>
  </si>
  <si>
    <t>Order ID</t>
  </si>
  <si>
    <t>O101</t>
  </si>
  <si>
    <t>O102</t>
  </si>
  <si>
    <t>O103</t>
  </si>
  <si>
    <t>O104</t>
  </si>
  <si>
    <t>O105</t>
  </si>
  <si>
    <t>O106</t>
  </si>
  <si>
    <r>
      <rPr>
        <u/>
        <sz val="20"/>
        <color theme="1"/>
        <rFont val="Calibri"/>
        <family val="2"/>
        <scheme val="minor"/>
      </rPr>
      <t>Task- 8</t>
    </r>
    <r>
      <rPr>
        <sz val="20"/>
        <color theme="1"/>
        <rFont val="Calibri"/>
        <family val="2"/>
        <scheme val="minor"/>
      </rPr>
      <t xml:space="preserve"> Conditional Formatting – Sales</t>
    </r>
  </si>
  <si>
    <t>Product</t>
  </si>
  <si>
    <t>Mobile</t>
  </si>
  <si>
    <t>Headphones</t>
  </si>
  <si>
    <t>Laptop</t>
  </si>
  <si>
    <t>Keyboard</t>
  </si>
  <si>
    <t>Tablet</t>
  </si>
  <si>
    <r>
      <rPr>
        <u/>
        <sz val="20"/>
        <color theme="1"/>
        <rFont val="Calibri"/>
        <family val="2"/>
        <scheme val="minor"/>
      </rPr>
      <t>Task -9</t>
    </r>
    <r>
      <rPr>
        <sz val="20"/>
        <color theme="1"/>
        <rFont val="Calibri"/>
        <family val="2"/>
        <scheme val="minor"/>
      </rPr>
      <t xml:space="preserve"> Student Result Highlight</t>
    </r>
  </si>
  <si>
    <t>Marks</t>
  </si>
  <si>
    <t>Bharti</t>
  </si>
  <si>
    <t>Chetan</t>
  </si>
  <si>
    <t>Deepa</t>
  </si>
  <si>
    <t>Farhan</t>
  </si>
  <si>
    <r>
      <rPr>
        <u/>
        <sz val="20"/>
        <color theme="1"/>
        <rFont val="Calibri"/>
        <family val="2"/>
        <scheme val="minor"/>
      </rPr>
      <t>Task -10</t>
    </r>
    <r>
      <rPr>
        <sz val="20"/>
        <color theme="1"/>
        <rFont val="Calibri"/>
        <family val="2"/>
        <scheme val="minor"/>
      </rPr>
      <t xml:space="preserve"> Salary Band – Conditional Formatting</t>
    </r>
  </si>
  <si>
    <t>Rohit</t>
  </si>
  <si>
    <t>Simran</t>
  </si>
  <si>
    <t>Vijay</t>
  </si>
  <si>
    <t>Nisha</t>
  </si>
  <si>
    <t>Mohan</t>
  </si>
  <si>
    <r>
      <rPr>
        <u/>
        <sz val="20"/>
        <color theme="1"/>
        <rFont val="Calibri"/>
        <family val="2"/>
        <scheme val="minor"/>
      </rPr>
      <t>Task - 2</t>
    </r>
    <r>
      <rPr>
        <sz val="20"/>
        <color theme="1"/>
        <rFont val="Calibri"/>
        <family val="2"/>
        <scheme val="minor"/>
      </rPr>
      <t xml:space="preserve"> Monthly Sales Report</t>
    </r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</si>
  <si>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</si>
  <si>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</si>
  <si>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</si>
  <si>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</si>
  <si>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</si>
  <si>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</si>
  <si>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</si>
  <si>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</si>
  <si>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</si>
  <si>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</si>
  <si>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</si>
  <si>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</si>
  <si>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</si>
  <si>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</si>
  <si>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</si>
  <si>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total=</t>
  </si>
  <si>
    <t>average=</t>
  </si>
  <si>
    <t>highest=</t>
  </si>
  <si>
    <t>lowest=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</si>
  <si>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</si>
  <si>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</si>
  <si>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</si>
  <si>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</si>
  <si>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</si>
  <si>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</si>
  <si>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</si>
  <si>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</si>
  <si>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</si>
  <si>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</si>
  <si>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</si>
  <si>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</si>
  <si>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</si>
  <si>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</si>
  <si>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HR=</t>
  </si>
  <si>
    <t>IT=</t>
  </si>
  <si>
    <t>Finance=</t>
  </si>
  <si>
    <t>Salary=</t>
  </si>
  <si>
    <t>Employes=</t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</si>
  <si>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Format header row (Bold, Color)
Salary → Currency (₹)
Date → Date format
Apply borders and auto-fit columns</t>
    </r>
  </si>
  <si>
    <t>Absent=</t>
  </si>
  <si>
    <t>present=</t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</si>
  <si>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Add title Monthly Sales Report
Merge &amp; center title
Wrap text for product names
Currency format for sales</t>
    </r>
  </si>
  <si>
    <t>Above=</t>
  </si>
  <si>
    <t>Below=</t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</si>
  <si>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Calculate Percentage
Format percentage column
Apply cell styles to headers</t>
    </r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</si>
  <si>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Calculate Total Sales
Find Average Sales
Identify Highest &amp; Lowest Sale</t>
    </r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</si>
  <si>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Total salary per department
Average salary
Count employees</t>
    </r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</si>
  <si>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Count Present days
Count Absent days</t>
    </r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</si>
  <si>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Count sales above 10000
Count sales below 5000</t>
    </r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</si>
  <si>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Highlight sales &gt; 20000 (Green)
Highlight sales &lt; 5000 (Red)</t>
    </r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</si>
  <si>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Marks ≥ 75 → Green
Marks &lt; 40 → Red</t>
    </r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</si>
  <si>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≥ 50000 → Dark Green
30000–49999 → Yellow
&lt; 30000 → Light 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</si>
</sst>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6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/>
    <xf numFmtId="0" fontId="0" fillId="5" borderId="2" xfId="0" applyFill="1" applyBorder="1" applyAlignment="1">
      <alignment horizontal="left"/>
    </xf>
    <xf numFmtId="165" fontId="0" fillId="5" borderId="2" xfId="0" applyNumberFormat="1" applyFill="1" applyBorder="1" applyAlignment="1">
      <alignment horizontal="left"/>
    </xf>
    <xf numFmtId="14" fontId="0" fillId="5" borderId="2" xfId="0" applyNumberFormat="1" applyFill="1" applyBorder="1" applyAlignment="1">
      <alignment horizontal="left"/>
    </xf>
    <xf numFmtId="0" fontId="0" fillId="5" borderId="2" xfId="0" applyFill="1" applyBorder="1"/>
    <xf numFmtId="165" fontId="0" fillId="5" borderId="2" xfId="0" applyNumberFormat="1" applyFill="1" applyBorder="1"/>
    <xf numFmtId="0" fontId="0" fillId="0" borderId="0" xfId="0" applyBorder="1"/>
    <xf numFmtId="0" fontId="7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5" xfId="0" applyFill="1" applyBorder="1" applyAlignment="1">
      <alignment horizontal="left"/>
    </xf>
    <xf numFmtId="0" fontId="0" fillId="0" borderId="0" xfId="0" applyAlignment="1"/>
    <xf numFmtId="0" fontId="0" fillId="0" borderId="0" xfId="0" applyAlignment="1">
      <alignment wrapText="1"/>
    </xf>
    <xf numFmtId="9" fontId="0" fillId="5" borderId="2" xfId="1" applyFont="1" applyFill="1" applyBorder="1" applyAlignment="1">
      <alignment horizontal="left"/>
    </xf>
    <xf numFmtId="0" fontId="0" fillId="6" borderId="2" xfId="0" applyFill="1" applyBorder="1"/>
    <xf numFmtId="0" fontId="0" fillId="6" borderId="2" xfId="0" applyFill="1" applyBorder="1" applyAlignment="1">
      <alignment horizontal="left"/>
    </xf>
    <xf numFmtId="14" fontId="0" fillId="6" borderId="2" xfId="0" applyNumberForma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0" fontId="0" fillId="7" borderId="2" xfId="0" applyFill="1" applyBorder="1" applyAlignment="1">
      <alignment horizontal="left" wrapText="1"/>
    </xf>
    <xf numFmtId="0" fontId="0" fillId="7" borderId="2" xfId="0" applyFill="1" applyBorder="1" applyAlignment="1">
      <alignment horizontal="left"/>
    </xf>
    <xf numFmtId="0" fontId="0" fillId="7" borderId="6" xfId="0" applyFill="1" applyBorder="1" applyAlignment="1">
      <alignment horizontal="left" wrapText="1"/>
    </xf>
    <xf numFmtId="0" fontId="0" fillId="7" borderId="7" xfId="0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0" fontId="0" fillId="7" borderId="11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4" fontId="0" fillId="5" borderId="14" xfId="0" applyNumberFormat="1" applyFill="1" applyBorder="1" applyAlignment="1">
      <alignment horizontal="left"/>
    </xf>
    <xf numFmtId="0" fontId="3" fillId="3" borderId="13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165" fontId="3" fillId="3" borderId="4" xfId="0" applyNumberFormat="1" applyFont="1" applyFill="1" applyBorder="1" applyAlignment="1">
      <alignment horizontal="left" vertical="top"/>
    </xf>
    <xf numFmtId="14" fontId="3" fillId="3" borderId="11" xfId="0" applyNumberFormat="1" applyFont="1" applyFill="1" applyBorder="1" applyAlignment="1">
      <alignment horizontal="left" vertical="top"/>
    </xf>
    <xf numFmtId="0" fontId="0" fillId="5" borderId="8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3" xfId="0" applyFill="1" applyBorder="1"/>
    <xf numFmtId="165" fontId="0" fillId="5" borderId="3" xfId="0" applyNumberFormat="1" applyFill="1" applyBorder="1"/>
    <xf numFmtId="14" fontId="0" fillId="5" borderId="6" xfId="0" applyNumberFormat="1" applyFill="1" applyBorder="1" applyAlignment="1">
      <alignment horizontal="left"/>
    </xf>
    <xf numFmtId="0" fontId="0" fillId="5" borderId="5" xfId="0" applyFill="1" applyBorder="1" applyAlignment="1">
      <alignment horizontal="center" wrapText="1"/>
    </xf>
    <xf numFmtId="0" fontId="0" fillId="5" borderId="14" xfId="0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5" borderId="8" xfId="0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2" borderId="15" xfId="2" applyBorder="1" applyAlignment="1">
      <alignment horizontal="left"/>
    </xf>
    <xf numFmtId="9" fontId="0" fillId="5" borderId="3" xfId="1" applyFont="1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5" borderId="5" xfId="0" applyFill="1" applyBorder="1"/>
    <xf numFmtId="0" fontId="0" fillId="5" borderId="14" xfId="0" applyFill="1" applyBorder="1"/>
    <xf numFmtId="0" fontId="0" fillId="3" borderId="13" xfId="0" applyFill="1" applyBorder="1"/>
    <xf numFmtId="0" fontId="0" fillId="3" borderId="4" xfId="0" applyFill="1" applyBorder="1"/>
    <xf numFmtId="0" fontId="0" fillId="3" borderId="11" xfId="0" applyFill="1" applyBorder="1"/>
    <xf numFmtId="0" fontId="0" fillId="5" borderId="8" xfId="0" applyFill="1" applyBorder="1"/>
    <xf numFmtId="0" fontId="0" fillId="5" borderId="6" xfId="0" applyFill="1" applyBorder="1"/>
  </cellXfs>
  <cellStyles count="3">
    <cellStyle name="Calculation" xfId="2" builtinId="22"/>
    <cellStyle name="Normal" xfId="0" builtinId="0"/>
    <cellStyle name="Percent" xfId="1" builtinId="5"/>
  </cellStyles>
  <dxfs count="95"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rgb="FF7F7F7F"/>
        </bottom>
      </border>
    </dxf>
    <dxf>
      <border outline="0">
        <top style="thin">
          <color rgb="FF7F7F7F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E64D3-9459-4A15-834D-9923DDB7B5D3}" name="Table1" displayName="Table1" ref="A5:E25" totalsRowShown="0" headerRowDxfId="67" headerRowBorderDxfId="74" tableBorderDxfId="75" totalsRowBorderDxfId="73">
  <autoFilter ref="A5:E25" xr:uid="{F4CE64D3-9459-4A15-834D-9923DDB7B5D3}"/>
  <tableColumns count="5">
    <tableColumn id="1" xr3:uid="{8E67DA8A-FF27-42D5-9591-42EDFB798745}" name="Employee ID" dataDxfId="72"/>
    <tableColumn id="2" xr3:uid="{9BFED25D-F04F-4716-96C9-9194A57D68F9}" name="Name" dataDxfId="71">
      <calculatedColumnFormula>CHOOSE(RANDBETWEEN(1,5),$B$6,$B$7,$B$8,$B$9,$B$10)</calculatedColumnFormula>
    </tableColumn>
    <tableColumn id="3" xr3:uid="{041C1986-EF2D-4903-8072-85F5E02072F6}" name="Department" dataDxfId="70">
      <calculatedColumnFormula>CHOOSE(RANDBETWEEN(1,5),$C$6,$C$7,$C$8,$C$9,$C$10)</calculatedColumnFormula>
    </tableColumn>
    <tableColumn id="4" xr3:uid="{D3FFE3C6-EC6A-4E1E-BAFC-A0AB5C4ABF62}" name="Salary" dataDxfId="69">
      <calculatedColumnFormula>CHOOSE(RANDBETWEEN(1,5),$D$6,$D$7,$D$8,$D$9,$D$10)</calculatedColumnFormula>
    </tableColumn>
    <tableColumn id="5" xr3:uid="{C2BFF5E5-E680-4EBF-BE61-66D691A48760}" name="Joining Date" dataDxfId="68">
      <calculatedColumnFormula>CHOOSE(RANDBETWEEN(1,5),$E$6,$E$7,$E$8,$E$9,$E$10)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4794B-BF47-4D48-A211-C18207648B84}" name="Table2" displayName="Table2" ref="A4:D25" totalsRowShown="0" headerRowBorderDxfId="65" tableBorderDxfId="66" totalsRowBorderDxfId="64">
  <autoFilter ref="A4:D25" xr:uid="{3414794B-BF47-4D48-A211-C18207648B84}"/>
  <tableColumns count="4">
    <tableColumn id="1" xr3:uid="{8C828053-9A23-481E-BBA4-C6A96088FDE3}" name="Product Name" dataDxfId="63">
      <calculatedColumnFormula>CHOOSE(RANDBETWEEN(1,4),$A$5,$A$6,$A$7,$A$8)</calculatedColumnFormula>
    </tableColumn>
    <tableColumn id="2" xr3:uid="{9E33CB74-0241-4D93-B752-BF69CD73976C}" name="Region" dataDxfId="62">
      <calculatedColumnFormula>CHOOSE(RANDBETWEEN(1,4),$B$5,$B$6,$B$7,$B$8)</calculatedColumnFormula>
    </tableColumn>
    <tableColumn id="3" xr3:uid="{1A63E791-CF0D-4C07-9858-AE17DE96BD4A}" name="Sales Amount" dataDxfId="61">
      <calculatedColumnFormula>CHOOSE(RANDBETWEEN(1,4),$C$5,$C$6,$C$7,$C$8)</calculatedColumnFormula>
    </tableColumn>
    <tableColumn id="4" xr3:uid="{F0E20664-0E7A-4D19-AB8C-0E4B746839CD}" name="Sales person" dataDxfId="60">
      <calculatedColumnFormula>CHOOSE(RANDBETWEEN(1,4),$D$5,$D$6,$D$7,$D$8)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3173B9-5132-4AFB-B40B-20E929BC5342}" name="Table3" displayName="Table3" ref="A4:F25" totalsRowShown="0" headerRowDxfId="49" dataDxfId="50" headerRowBorderDxfId="58" tableBorderDxfId="59" totalsRowBorderDxfId="57" headerRowCellStyle="Calculation">
  <autoFilter ref="A4:F25" xr:uid="{823173B9-5132-4AFB-B40B-20E929BC5342}"/>
  <tableColumns count="6">
    <tableColumn id="1" xr3:uid="{E55229BE-898B-40FA-8789-AC90CFB49D7D}" name="Roll No" dataDxfId="56"/>
    <tableColumn id="2" xr3:uid="{18C10907-98F3-4646-84B5-F7710367362A}" name="Student Name" dataDxfId="55">
      <calculatedColumnFormula>CHOOSE(RANDBETWEEN(1,5),$B$5,$B$6,$B$7,$B$8,$B$9)</calculatedColumnFormula>
    </tableColumn>
    <tableColumn id="3" xr3:uid="{632884D4-A108-4C7F-B6C8-4A918D1CCA95}" name="Maths" dataDxfId="54">
      <calculatedColumnFormula>CHOOSE(RANDBETWEEN(1,5),$C$5,$C$6,$C$7,$C$8,$C$9)</calculatedColumnFormula>
    </tableColumn>
    <tableColumn id="4" xr3:uid="{EE03107F-575D-4A9D-93DE-D99B18EFDA38}" name="Science" dataDxfId="53">
      <calculatedColumnFormula>CHOOSE(RANDBETWEEN(1,5),$D$5,$D$6,$D$7,$D$8,$D$9)</calculatedColumnFormula>
    </tableColumn>
    <tableColumn id="5" xr3:uid="{4E438556-1102-4454-9CDB-64743DDDFAA7}" name="English" dataDxfId="52">
      <calculatedColumnFormula>CHOOSE(RANDBETWEEN(1,5),$E$5,$E$6,$E$7,$E$8,$E$9)</calculatedColumnFormula>
    </tableColumn>
    <tableColumn id="6" xr3:uid="{46DCA4C9-1CCD-46C9-995A-C04A51BEE202}" name="Percentage" dataDxfId="51" dataCellStyle="Percent">
      <calculatedColumnFormula>(C5+D5+E5)/300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2E6CBA-049F-4BD9-84F6-469A757F0BA9}" name="Table4" displayName="Table4" ref="A4:C24" totalsRowShown="0" headerRowBorderDxfId="47" tableBorderDxfId="48" totalsRowBorderDxfId="46">
  <autoFilter ref="A4:C24" xr:uid="{E12E6CBA-049F-4BD9-84F6-469A757F0BA9}"/>
  <tableColumns count="3">
    <tableColumn id="1" xr3:uid="{E7786414-52CA-43AF-B88B-53F8B9DF7852}" name="Invoice No" dataDxfId="45"/>
    <tableColumn id="2" xr3:uid="{FE996410-654E-4CD4-8AE7-73F096419043}" name="Date" dataDxfId="44">
      <calculatedColumnFormula>CHOOSE(RANDBETWEEN(1,5),$B$5,$B$6,$B$7,$B$8,$B$9)</calculatedColumnFormula>
    </tableColumn>
    <tableColumn id="3" xr3:uid="{5DF54D8E-CEDA-4E5F-A1AE-CFC7AC7E6D6A}" name="Sales Amount" dataDxfId="43">
      <calculatedColumnFormula>CHOOSE(RANDBETWEEN(1,5),$C$5,$C$6,$C$7,$C$8,$C$9)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8A30-C1D2-40B0-9511-DEB3A8DB9B14}" name="Table5" displayName="Table5" ref="A4:C25" totalsRowShown="0" headerRowDxfId="36" headerRowBorderDxfId="41" tableBorderDxfId="42" totalsRowBorderDxfId="40">
  <autoFilter ref="A4:C25" xr:uid="{1CE68A30-C1D2-40B0-9511-DEB3A8DB9B14}"/>
  <tableColumns count="3">
    <tableColumn id="1" xr3:uid="{59FA7F56-0CB3-4E3F-89E9-0A41ACBC2432}" name="Employee Name" dataDxfId="39">
      <calculatedColumnFormula>CHOOSE(RANDBETWEEN(1,6),$A$5,$A$6,$A$7,$A$8,$A$9,$A$10)</calculatedColumnFormula>
    </tableColumn>
    <tableColumn id="2" xr3:uid="{1E61B7B7-2CEC-4ED9-9ADA-713FBBB85C4A}" name="Department" dataDxfId="38">
      <calculatedColumnFormula>CHOOSE(RANDBETWEEN(1,6),$B$5,$B$6,$B$7,$B$8,$B$9,$B$10)</calculatedColumnFormula>
    </tableColumn>
    <tableColumn id="3" xr3:uid="{B134C12B-2195-4250-8F07-91F2FA12D5F4}" name="Salary" dataDxfId="37">
      <calculatedColumnFormula>CHOOSE(RANDBETWEEN(1,6),$C$5,$C$6,$C$7,$C$8,$C$9,$C$10)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377B55-6F2D-4335-BA1E-21F81767838E}" name="Table6" displayName="Table6" ref="A4:F25" totalsRowShown="0" headerRowDxfId="25" dataDxfId="26" headerRowBorderDxfId="34" tableBorderDxfId="35" totalsRowBorderDxfId="33">
  <autoFilter ref="A4:F25" xr:uid="{DD377B55-6F2D-4335-BA1E-21F81767838E}"/>
  <tableColumns count="6">
    <tableColumn id="1" xr3:uid="{4534999F-A1A4-492D-A3AE-B7D166CD4830}" name="Student Name" dataDxfId="32">
      <calculatedColumnFormula>CHOOSE(RANDBETWEEN(1,4),$A$5,$A$6,$A$7,$A$8)</calculatedColumnFormula>
    </tableColumn>
    <tableColumn id="2" xr3:uid="{45620A8D-B3A8-49C8-B34C-BB395CF6F3F0}" name="Day 1" dataDxfId="31"/>
    <tableColumn id="3" xr3:uid="{985884B6-564E-408C-86EB-B93C43199768}" name="Day 2" dataDxfId="30"/>
    <tableColumn id="4" xr3:uid="{A0ACEA27-5F8F-486F-85E2-EE16DC6EEE3E}" name="Day 3" dataDxfId="29"/>
    <tableColumn id="5" xr3:uid="{58EA7600-C4FA-4059-8C77-7CD22CE0B9B0}" name="Day 4" dataDxfId="28"/>
    <tableColumn id="6" xr3:uid="{14DD19B0-793C-45F0-AD54-45D3B0AC07D3}" name="Day 5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805FE6-FC0F-4920-9AB8-68F1A4642E04}" name="Table7" displayName="Table7" ref="A4:B24" totalsRowShown="0" headerRowDxfId="19" headerRowBorderDxfId="23" tableBorderDxfId="24" totalsRowBorderDxfId="22">
  <autoFilter ref="A4:B24" xr:uid="{B9805FE6-FC0F-4920-9AB8-68F1A4642E04}"/>
  <tableColumns count="2">
    <tableColumn id="1" xr3:uid="{8B985082-9F23-4920-8143-2C40ABEE4A95}" name="Order ID" dataDxfId="21"/>
    <tableColumn id="2" xr3:uid="{D1EC1674-4D11-491A-9A5F-0E9657965A8B}" name="Sales Amount" dataDxfId="20">
      <calculatedColumnFormula>CHOOSE(RANDBETWEEN(1,6),$B$5,$B$6,$B$7,$B$8,$B$9,$B$10)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1E7F69-9909-47E1-8537-9768755ED284}" name="Table8" displayName="Table8" ref="A4:B24" totalsRowShown="0" headerRowDxfId="13" headerRowBorderDxfId="17" tableBorderDxfId="18" totalsRowBorderDxfId="16">
  <autoFilter ref="A4:B24" xr:uid="{441E7F69-9909-47E1-8537-9768755ED284}"/>
  <tableColumns count="2">
    <tableColumn id="1" xr3:uid="{3CEDD627-CF78-4B00-A067-810617766EE3}" name="Product" dataDxfId="15"/>
    <tableColumn id="2" xr3:uid="{D824343B-9D1B-4F8C-98C4-DD08FF1E9421}" name="Sales Amount" dataDxfId="14">
      <calculatedColumnFormula>CHOOSE(RANDBETWEEN(1,5),$B$5,$B$6,$B$7,$B$8,$B$9)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2B10FB-8888-413C-AC28-1DA62FDC43F3}" name="Table9" displayName="Table9" ref="B4:D24" totalsRowShown="0" headerRowDxfId="6" headerRowBorderDxfId="11" tableBorderDxfId="12" totalsRowBorderDxfId="10">
  <autoFilter ref="B4:D24" xr:uid="{782B10FB-8888-413C-AC28-1DA62FDC43F3}"/>
  <tableColumns count="3">
    <tableColumn id="1" xr3:uid="{E9458ACA-1454-454E-82F1-DE85985966EE}" name="Roll No" dataDxfId="9"/>
    <tableColumn id="2" xr3:uid="{DC7DF5B7-6D28-4D89-8ED1-7037A700A900}" name="Name" dataDxfId="8"/>
    <tableColumn id="3" xr3:uid="{1E08A8C8-5074-492B-99CB-27B613C138E8}" name="Marks" dataDxfId="7">
      <calculatedColumnFormula>CHOOSE(RANDBETWEEN(1,5),$D$5,$D$6,$D$7,$D$8,$D$9)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D04A3E-58BA-4254-8E39-FFA12C939504}" name="Table10" displayName="Table10" ref="A4:B24" totalsRowShown="0" headerRowDxfId="0" headerRowBorderDxfId="4" tableBorderDxfId="5" totalsRowBorderDxfId="3">
  <autoFilter ref="A4:B24" xr:uid="{DCD04A3E-58BA-4254-8E39-FFA12C939504}"/>
  <tableColumns count="2">
    <tableColumn id="1" xr3:uid="{DABE5DD7-70C9-4682-A163-1A04AC8919E7}" name="Employee Name" dataDxfId="2"/>
    <tableColumn id="2" xr3:uid="{7C6C6D5E-BA75-4EDE-94BA-A64981163CDC}" name="Salary" dataDxfId="1">
      <calculatedColumnFormula>CHOOSE(RANDBETWEEN(1,5),$B$5,$B$6,$B$7,$B$8,$B$9)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5DB1-5F5A-425E-BFC4-5268E89A1913}">
  <dimension ref="A1:P27"/>
  <sheetViews>
    <sheetView tabSelected="1" zoomScale="121" zoomScaleNormal="136" workbookViewId="0">
      <selection activeCell="E29" sqref="E29"/>
    </sheetView>
  </sheetViews>
  <sheetFormatPr defaultRowHeight="15" x14ac:dyDescent="0.25"/>
  <cols>
    <col min="1" max="1" width="13.85546875" customWidth="1"/>
    <col min="2" max="2" width="14.140625" customWidth="1"/>
    <col min="3" max="3" width="13.28515625" customWidth="1"/>
    <col min="4" max="4" width="11" style="2" bestFit="1" customWidth="1"/>
    <col min="5" max="5" width="13.42578125" style="3" customWidth="1"/>
    <col min="16" max="16" width="9.42578125" customWidth="1"/>
  </cols>
  <sheetData>
    <row r="1" spans="1:16" x14ac:dyDescent="0.25">
      <c r="G1" s="10" t="s">
        <v>14</v>
      </c>
      <c r="H1" s="11"/>
      <c r="I1" s="11"/>
      <c r="J1" s="11"/>
      <c r="K1" s="11"/>
      <c r="L1" s="11"/>
      <c r="M1" s="11"/>
      <c r="N1" s="11"/>
    </row>
    <row r="2" spans="1:16" x14ac:dyDescent="0.25">
      <c r="G2" s="11"/>
      <c r="H2" s="11"/>
      <c r="I2" s="11"/>
      <c r="J2" s="11"/>
      <c r="K2" s="11"/>
      <c r="L2" s="11"/>
      <c r="M2" s="11"/>
      <c r="N2" s="11"/>
    </row>
    <row r="5" spans="1:16" x14ac:dyDescent="0.25">
      <c r="A5" s="34" t="s">
        <v>0</v>
      </c>
      <c r="B5" s="35" t="s">
        <v>1</v>
      </c>
      <c r="C5" s="35" t="s">
        <v>2</v>
      </c>
      <c r="D5" s="36" t="s">
        <v>3</v>
      </c>
      <c r="E5" s="37" t="s">
        <v>4</v>
      </c>
    </row>
    <row r="6" spans="1:16" x14ac:dyDescent="0.25">
      <c r="A6" s="12" t="s">
        <v>16</v>
      </c>
      <c r="B6" s="4" t="s">
        <v>5</v>
      </c>
      <c r="C6" s="4" t="s">
        <v>6</v>
      </c>
      <c r="D6" s="5">
        <v>32000</v>
      </c>
      <c r="E6" s="33">
        <v>44573</v>
      </c>
    </row>
    <row r="7" spans="1:16" x14ac:dyDescent="0.25">
      <c r="A7" s="12" t="s">
        <v>21</v>
      </c>
      <c r="B7" s="4" t="s">
        <v>7</v>
      </c>
      <c r="C7" s="4" t="s">
        <v>8</v>
      </c>
      <c r="D7" s="5">
        <v>45000</v>
      </c>
      <c r="E7" s="33">
        <v>44574</v>
      </c>
    </row>
    <row r="8" spans="1:16" x14ac:dyDescent="0.25">
      <c r="A8" s="12" t="s">
        <v>17</v>
      </c>
      <c r="B8" s="4" t="s">
        <v>9</v>
      </c>
      <c r="C8" s="4" t="s">
        <v>10</v>
      </c>
      <c r="D8" s="5">
        <v>38000</v>
      </c>
      <c r="E8" s="33">
        <v>44575</v>
      </c>
    </row>
    <row r="9" spans="1:16" x14ac:dyDescent="0.25">
      <c r="A9" s="12" t="s">
        <v>18</v>
      </c>
      <c r="B9" s="4" t="s">
        <v>11</v>
      </c>
      <c r="C9" s="4" t="s">
        <v>8</v>
      </c>
      <c r="D9" s="5">
        <v>52000</v>
      </c>
      <c r="E9" s="33">
        <v>44576</v>
      </c>
    </row>
    <row r="10" spans="1:16" x14ac:dyDescent="0.25">
      <c r="A10" s="12" t="s">
        <v>20</v>
      </c>
      <c r="B10" s="4" t="s">
        <v>12</v>
      </c>
      <c r="C10" s="4" t="s">
        <v>13</v>
      </c>
      <c r="D10" s="5">
        <v>30000</v>
      </c>
      <c r="E10" s="33">
        <v>44577</v>
      </c>
    </row>
    <row r="11" spans="1:16" x14ac:dyDescent="0.25">
      <c r="A11" s="12" t="s">
        <v>19</v>
      </c>
      <c r="B11" s="4" t="str">
        <f ca="1">CHOOSE(RANDBETWEEN(1,5),$B$6,$B$7,$B$8,$B$9,$B$10)</f>
        <v>Ankit Patel</v>
      </c>
      <c r="C11" s="7" t="str">
        <f ca="1">CHOOSE(RANDBETWEEN(1,5),$C$6,$C$7,$C$8,$C$9,$C$10)</f>
        <v>Finance</v>
      </c>
      <c r="D11" s="8">
        <f ca="1">CHOOSE(RANDBETWEEN(1,5),$D$6,$D$7,$D$8,$D$9,$D$10)</f>
        <v>52000</v>
      </c>
      <c r="E11" s="33">
        <f ca="1">CHOOSE(RANDBETWEEN(1,5),$E$6,$E$7,$E$8,$E$9,$E$10)</f>
        <v>44573</v>
      </c>
      <c r="M11" s="1"/>
    </row>
    <row r="12" spans="1:16" x14ac:dyDescent="0.25">
      <c r="A12" s="12" t="s">
        <v>22</v>
      </c>
      <c r="B12" s="4" t="str">
        <f t="shared" ref="B12:B25" ca="1" si="0">CHOOSE(RANDBETWEEN(1,5),$B$6,$B$7,$B$8,$B$9,$B$10)</f>
        <v>Neha Verma</v>
      </c>
      <c r="C12" s="7" t="str">
        <f t="shared" ref="C12:C25" ca="1" si="1">CHOOSE(RANDBETWEEN(1,5),$C$6,$C$7,$C$8,$C$9,$C$10)</f>
        <v>HR</v>
      </c>
      <c r="D12" s="8">
        <f t="shared" ref="D12:D25" ca="1" si="2">CHOOSE(RANDBETWEEN(1,5),$D$6,$D$7,$D$8,$D$9,$D$10)</f>
        <v>45000</v>
      </c>
      <c r="E12" s="33">
        <f t="shared" ref="E12:E25" ca="1" si="3">CHOOSE(RANDBETWEEN(1,5),$E$6,$E$7,$E$8,$E$9,$E$10)</f>
        <v>44574</v>
      </c>
      <c r="M12" s="1"/>
    </row>
    <row r="13" spans="1:16" x14ac:dyDescent="0.25">
      <c r="A13" s="12" t="s">
        <v>23</v>
      </c>
      <c r="B13" s="4" t="str">
        <f t="shared" ca="1" si="0"/>
        <v>Pooja Singh</v>
      </c>
      <c r="C13" s="7" t="str">
        <f t="shared" ca="1" si="1"/>
        <v>Finance</v>
      </c>
      <c r="D13" s="8">
        <f t="shared" ca="1" si="2"/>
        <v>38000</v>
      </c>
      <c r="E13" s="33">
        <f t="shared" ca="1" si="3"/>
        <v>44577</v>
      </c>
      <c r="J13" s="20" t="s">
        <v>153</v>
      </c>
      <c r="K13" s="21"/>
      <c r="L13" s="21"/>
      <c r="M13" s="21"/>
      <c r="N13" s="21"/>
      <c r="O13" s="21"/>
      <c r="P13" s="21"/>
    </row>
    <row r="14" spans="1:16" x14ac:dyDescent="0.25">
      <c r="A14" s="12" t="s">
        <v>24</v>
      </c>
      <c r="B14" s="4" t="str">
        <f t="shared" ca="1" si="0"/>
        <v>Neha Verma</v>
      </c>
      <c r="C14" s="7" t="str">
        <f t="shared" ca="1" si="1"/>
        <v>Sales</v>
      </c>
      <c r="D14" s="8">
        <f t="shared" ca="1" si="2"/>
        <v>32000</v>
      </c>
      <c r="E14" s="33">
        <f t="shared" ca="1" si="3"/>
        <v>44575</v>
      </c>
      <c r="J14" s="21"/>
      <c r="K14" s="21"/>
      <c r="L14" s="21"/>
      <c r="M14" s="21"/>
      <c r="N14" s="21"/>
      <c r="O14" s="21"/>
      <c r="P14" s="21"/>
    </row>
    <row r="15" spans="1:16" x14ac:dyDescent="0.25">
      <c r="A15" s="12" t="s">
        <v>25</v>
      </c>
      <c r="B15" s="4" t="str">
        <f t="shared" ca="1" si="0"/>
        <v>Pooja Singh</v>
      </c>
      <c r="C15" s="7" t="str">
        <f t="shared" ca="1" si="1"/>
        <v>HR</v>
      </c>
      <c r="D15" s="8">
        <f t="shared" ca="1" si="2"/>
        <v>45000</v>
      </c>
      <c r="E15" s="33">
        <f t="shared" ca="1" si="3"/>
        <v>44574</v>
      </c>
      <c r="J15" s="21"/>
      <c r="K15" s="21"/>
      <c r="L15" s="21"/>
      <c r="M15" s="21"/>
      <c r="N15" s="21"/>
      <c r="O15" s="21"/>
      <c r="P15" s="21"/>
    </row>
    <row r="16" spans="1:16" x14ac:dyDescent="0.25">
      <c r="A16" s="12" t="s">
        <v>26</v>
      </c>
      <c r="B16" s="4" t="str">
        <f t="shared" ca="1" si="0"/>
        <v>Neha Verma</v>
      </c>
      <c r="C16" s="7" t="str">
        <f t="shared" ca="1" si="1"/>
        <v>IT</v>
      </c>
      <c r="D16" s="8">
        <f t="shared" ca="1" si="2"/>
        <v>38000</v>
      </c>
      <c r="E16" s="33">
        <f t="shared" ca="1" si="3"/>
        <v>44575</v>
      </c>
      <c r="J16" s="21"/>
      <c r="K16" s="21"/>
      <c r="L16" s="21"/>
      <c r="M16" s="21"/>
      <c r="N16" s="21"/>
      <c r="O16" s="21"/>
      <c r="P16" s="21"/>
    </row>
    <row r="17" spans="1:16" x14ac:dyDescent="0.25">
      <c r="A17" s="12" t="s">
        <v>27</v>
      </c>
      <c r="B17" s="4" t="str">
        <f t="shared" ca="1" si="0"/>
        <v>Rahul Mehta</v>
      </c>
      <c r="C17" s="7" t="str">
        <f t="shared" ca="1" si="1"/>
        <v>IT</v>
      </c>
      <c r="D17" s="8">
        <f t="shared" ca="1" si="2"/>
        <v>52000</v>
      </c>
      <c r="E17" s="33">
        <f t="shared" ca="1" si="3"/>
        <v>44575</v>
      </c>
      <c r="J17" s="21"/>
      <c r="K17" s="21"/>
      <c r="L17" s="21"/>
      <c r="M17" s="21"/>
      <c r="N17" s="21"/>
      <c r="O17" s="21"/>
      <c r="P17" s="21"/>
    </row>
    <row r="18" spans="1:16" x14ac:dyDescent="0.25">
      <c r="A18" s="12" t="s">
        <v>28</v>
      </c>
      <c r="B18" s="4" t="str">
        <f t="shared" ca="1" si="0"/>
        <v>Amit Sharma</v>
      </c>
      <c r="C18" s="7" t="str">
        <f t="shared" ca="1" si="1"/>
        <v>IT</v>
      </c>
      <c r="D18" s="8">
        <f t="shared" ca="1" si="2"/>
        <v>32000</v>
      </c>
      <c r="E18" s="33">
        <f t="shared" ca="1" si="3"/>
        <v>44576</v>
      </c>
      <c r="J18" s="21"/>
      <c r="K18" s="21"/>
      <c r="L18" s="21"/>
      <c r="M18" s="21"/>
      <c r="N18" s="21"/>
      <c r="O18" s="21"/>
      <c r="P18" s="21"/>
    </row>
    <row r="19" spans="1:16" x14ac:dyDescent="0.25">
      <c r="A19" s="12" t="s">
        <v>29</v>
      </c>
      <c r="B19" s="4" t="str">
        <f t="shared" ca="1" si="0"/>
        <v>Amit Sharma</v>
      </c>
      <c r="C19" s="7" t="str">
        <f t="shared" ca="1" si="1"/>
        <v>HR</v>
      </c>
      <c r="D19" s="8">
        <f t="shared" ca="1" si="2"/>
        <v>45000</v>
      </c>
      <c r="E19" s="33">
        <f t="shared" ca="1" si="3"/>
        <v>44573</v>
      </c>
    </row>
    <row r="20" spans="1:16" x14ac:dyDescent="0.25">
      <c r="A20" s="12" t="s">
        <v>30</v>
      </c>
      <c r="B20" s="4" t="str">
        <f t="shared" ca="1" si="0"/>
        <v>Ankit Patel</v>
      </c>
      <c r="C20" s="7" t="str">
        <f t="shared" ca="1" si="1"/>
        <v>HR</v>
      </c>
      <c r="D20" s="8">
        <f t="shared" ca="1" si="2"/>
        <v>32000</v>
      </c>
      <c r="E20" s="33">
        <f t="shared" ca="1" si="3"/>
        <v>44573</v>
      </c>
    </row>
    <row r="21" spans="1:16" x14ac:dyDescent="0.25">
      <c r="A21" s="12" t="s">
        <v>31</v>
      </c>
      <c r="B21" s="4" t="str">
        <f t="shared" ca="1" si="0"/>
        <v>Rahul Mehta</v>
      </c>
      <c r="C21" s="7" t="str">
        <f t="shared" ca="1" si="1"/>
        <v>HR</v>
      </c>
      <c r="D21" s="8">
        <f t="shared" ca="1" si="2"/>
        <v>45000</v>
      </c>
      <c r="E21" s="33">
        <f t="shared" ca="1" si="3"/>
        <v>44574</v>
      </c>
    </row>
    <row r="22" spans="1:16" x14ac:dyDescent="0.25">
      <c r="A22" s="12" t="s">
        <v>32</v>
      </c>
      <c r="B22" s="4" t="str">
        <f t="shared" ca="1" si="0"/>
        <v>Pooja Singh</v>
      </c>
      <c r="C22" s="7" t="str">
        <f t="shared" ca="1" si="1"/>
        <v>IT</v>
      </c>
      <c r="D22" s="8">
        <f t="shared" ca="1" si="2"/>
        <v>45000</v>
      </c>
      <c r="E22" s="33">
        <f t="shared" ca="1" si="3"/>
        <v>44573</v>
      </c>
    </row>
    <row r="23" spans="1:16" x14ac:dyDescent="0.25">
      <c r="A23" s="12" t="s">
        <v>33</v>
      </c>
      <c r="B23" s="4" t="str">
        <f t="shared" ca="1" si="0"/>
        <v>Amit Sharma</v>
      </c>
      <c r="C23" s="7" t="str">
        <f t="shared" ca="1" si="1"/>
        <v>IT</v>
      </c>
      <c r="D23" s="8">
        <f t="shared" ca="1" si="2"/>
        <v>52000</v>
      </c>
      <c r="E23" s="33">
        <f t="shared" ca="1" si="3"/>
        <v>44575</v>
      </c>
    </row>
    <row r="24" spans="1:16" x14ac:dyDescent="0.25">
      <c r="A24" s="12" t="s">
        <v>34</v>
      </c>
      <c r="B24" s="4" t="str">
        <f t="shared" ca="1" si="0"/>
        <v>Neha Verma</v>
      </c>
      <c r="C24" s="7" t="str">
        <f t="shared" ca="1" si="1"/>
        <v>IT</v>
      </c>
      <c r="D24" s="8">
        <f t="shared" ca="1" si="2"/>
        <v>32000</v>
      </c>
      <c r="E24" s="33">
        <f t="shared" ca="1" si="3"/>
        <v>44577</v>
      </c>
    </row>
    <row r="25" spans="1:16" x14ac:dyDescent="0.25">
      <c r="A25" s="38" t="s">
        <v>35</v>
      </c>
      <c r="B25" s="39" t="str">
        <f t="shared" ca="1" si="0"/>
        <v>Amit Sharma</v>
      </c>
      <c r="C25" s="40" t="str">
        <f t="shared" ca="1" si="1"/>
        <v>IT</v>
      </c>
      <c r="D25" s="41">
        <f t="shared" ca="1" si="2"/>
        <v>32000</v>
      </c>
      <c r="E25" s="42">
        <f t="shared" ca="1" si="3"/>
        <v>44576</v>
      </c>
    </row>
    <row r="26" spans="1:16" x14ac:dyDescent="0.25">
      <c r="A26" s="1"/>
    </row>
    <row r="27" spans="1:16" x14ac:dyDescent="0.25">
      <c r="A27" s="1"/>
    </row>
  </sheetData>
  <mergeCells count="2">
    <mergeCell ref="G1:N2"/>
    <mergeCell ref="J13:P18"/>
  </mergeCells>
  <phoneticPr fontId="4" type="noConversion"/>
  <pageMargins left="0.7" right="0.7" top="0.75" bottom="0.75" header="0.3" footer="0.3"/>
  <pageSetup orientation="portrait" horizontalDpi="200" verticalDpi="20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A693-FEF0-4F50-96D2-F66B143D7462}">
  <dimension ref="A1:P25"/>
  <sheetViews>
    <sheetView zoomScale="119" zoomScaleNormal="140" workbookViewId="0">
      <selection activeCell="F16" sqref="F16"/>
    </sheetView>
  </sheetViews>
  <sheetFormatPr defaultRowHeight="15" x14ac:dyDescent="0.25"/>
  <cols>
    <col min="1" max="1" width="26.42578125" style="14" customWidth="1"/>
    <col min="2" max="2" width="9.5703125" customWidth="1"/>
    <col min="3" max="3" width="14.28515625" style="2" customWidth="1"/>
    <col min="4" max="4" width="13.28515625" customWidth="1"/>
  </cols>
  <sheetData>
    <row r="1" spans="1:16" x14ac:dyDescent="0.25">
      <c r="G1" s="10" t="s">
        <v>114</v>
      </c>
      <c r="H1" s="11"/>
      <c r="I1" s="11"/>
      <c r="J1" s="11"/>
      <c r="K1" s="11"/>
      <c r="L1" s="11"/>
      <c r="M1" s="11"/>
      <c r="N1" s="11"/>
    </row>
    <row r="2" spans="1:16" x14ac:dyDescent="0.25">
      <c r="G2" s="11"/>
      <c r="H2" s="11"/>
      <c r="I2" s="11"/>
      <c r="J2" s="11"/>
      <c r="K2" s="11"/>
      <c r="L2" s="11"/>
      <c r="M2" s="11"/>
      <c r="N2" s="11"/>
    </row>
    <row r="4" spans="1:16" x14ac:dyDescent="0.25">
      <c r="A4" s="45" t="s">
        <v>37</v>
      </c>
      <c r="B4" s="46" t="s">
        <v>38</v>
      </c>
      <c r="C4" s="47" t="s">
        <v>39</v>
      </c>
      <c r="D4" s="48" t="s">
        <v>52</v>
      </c>
    </row>
    <row r="5" spans="1:16" s="13" customFormat="1" x14ac:dyDescent="0.25">
      <c r="A5" s="43" t="s">
        <v>40</v>
      </c>
      <c r="B5" s="30" t="s">
        <v>41</v>
      </c>
      <c r="C5" s="31">
        <v>45000</v>
      </c>
      <c r="D5" s="44" t="s">
        <v>42</v>
      </c>
    </row>
    <row r="6" spans="1:16" x14ac:dyDescent="0.25">
      <c r="A6" s="43" t="s">
        <v>43</v>
      </c>
      <c r="B6" s="32" t="s">
        <v>44</v>
      </c>
      <c r="C6" s="31">
        <v>1200</v>
      </c>
      <c r="D6" s="44" t="s">
        <v>45</v>
      </c>
    </row>
    <row r="7" spans="1:16" x14ac:dyDescent="0.25">
      <c r="A7" s="43" t="s">
        <v>46</v>
      </c>
      <c r="B7" s="32" t="s">
        <v>47</v>
      </c>
      <c r="C7" s="31">
        <v>18000</v>
      </c>
      <c r="D7" s="44" t="s">
        <v>48</v>
      </c>
    </row>
    <row r="8" spans="1:16" x14ac:dyDescent="0.25">
      <c r="A8" s="43" t="s">
        <v>49</v>
      </c>
      <c r="B8" s="32" t="s">
        <v>50</v>
      </c>
      <c r="C8" s="31">
        <v>62000</v>
      </c>
      <c r="D8" s="44" t="s">
        <v>51</v>
      </c>
    </row>
    <row r="9" spans="1:16" x14ac:dyDescent="0.25">
      <c r="A9" s="43" t="str">
        <f ca="1">CHOOSE(RANDBETWEEN(1,4),$A$5,$A$6,$A$7,$A$8)</f>
        <v>Laptop Dell Inspiron 15</v>
      </c>
      <c r="B9" s="30" t="str">
        <f ca="1">CHOOSE(RANDBETWEEN(1,4),$B$5,$B$6,$B$7,$B$8)</f>
        <v>West</v>
      </c>
      <c r="C9" s="31">
        <f ca="1">CHOOSE(RANDBETWEEN(1,4),$C$5,$C$6,$C$7,$C$8)</f>
        <v>18000</v>
      </c>
      <c r="D9" s="44" t="str">
        <f ca="1">CHOOSE(RANDBETWEEN(1,4),$D$5,$D$6,$D$7,$D$8)</f>
        <v>Kavita</v>
      </c>
    </row>
    <row r="10" spans="1:16" x14ac:dyDescent="0.25">
      <c r="A10" s="43" t="str">
        <f t="shared" ref="A10:A24" ca="1" si="0">CHOOSE(RANDBETWEEN(1,4),$A$5,$A$6,$A$7,$A$8)</f>
        <v>Lenovo ThinkPad E14 Laptop</v>
      </c>
      <c r="B10" s="30" t="str">
        <f t="shared" ref="B10:B25" ca="1" si="1">CHOOSE(RANDBETWEEN(1,4),$B$5,$B$6,$B$7,$B$8)</f>
        <v>West</v>
      </c>
      <c r="C10" s="31">
        <f t="shared" ref="C10:C25" ca="1" si="2">CHOOSE(RANDBETWEEN(1,4),$C$5,$C$6,$C$7,$C$8)</f>
        <v>62000</v>
      </c>
      <c r="D10" s="44" t="str">
        <f t="shared" ref="D10:D25" ca="1" si="3">CHOOSE(RANDBETWEEN(1,4),$D$5,$D$6,$D$7,$D$8)</f>
        <v>Arjun</v>
      </c>
    </row>
    <row r="11" spans="1:16" x14ac:dyDescent="0.25">
      <c r="A11" s="43" t="str">
        <f t="shared" ca="1" si="0"/>
        <v>Samsung 24-inch Monitor</v>
      </c>
      <c r="B11" s="30" t="str">
        <f t="shared" ca="1" si="1"/>
        <v>East</v>
      </c>
      <c r="C11" s="31">
        <f t="shared" ca="1" si="2"/>
        <v>18000</v>
      </c>
      <c r="D11" s="44" t="str">
        <f t="shared" ca="1" si="3"/>
        <v>Ramesh</v>
      </c>
      <c r="H11" s="1"/>
    </row>
    <row r="12" spans="1:16" x14ac:dyDescent="0.25">
      <c r="A12" s="43" t="str">
        <f t="shared" ca="1" si="0"/>
        <v>Laptop Dell Inspiron 15</v>
      </c>
      <c r="B12" s="30" t="str">
        <f t="shared" ca="1" si="1"/>
        <v>North</v>
      </c>
      <c r="C12" s="31">
        <f t="shared" ca="1" si="2"/>
        <v>1200</v>
      </c>
      <c r="D12" s="44" t="str">
        <f t="shared" ca="1" si="3"/>
        <v>Arjun</v>
      </c>
      <c r="J12" s="22" t="s">
        <v>156</v>
      </c>
      <c r="K12" s="23"/>
      <c r="L12" s="23"/>
      <c r="M12" s="23"/>
      <c r="N12" s="23"/>
      <c r="O12" s="23"/>
      <c r="P12" s="24"/>
    </row>
    <row r="13" spans="1:16" x14ac:dyDescent="0.25">
      <c r="A13" s="43" t="str">
        <f t="shared" ca="1" si="0"/>
        <v>HP Wireless Mouse</v>
      </c>
      <c r="B13" s="30" t="str">
        <f t="shared" ca="1" si="1"/>
        <v>North</v>
      </c>
      <c r="C13" s="31">
        <f t="shared" ca="1" si="2"/>
        <v>45000</v>
      </c>
      <c r="D13" s="44" t="str">
        <f t="shared" ca="1" si="3"/>
        <v>Arjun</v>
      </c>
      <c r="J13" s="25"/>
      <c r="K13" s="19"/>
      <c r="L13" s="19"/>
      <c r="M13" s="19"/>
      <c r="N13" s="19"/>
      <c r="O13" s="19"/>
      <c r="P13" s="26"/>
    </row>
    <row r="14" spans="1:16" x14ac:dyDescent="0.25">
      <c r="A14" s="43" t="str">
        <f t="shared" ca="1" si="0"/>
        <v>Samsung 24-inch Monitor</v>
      </c>
      <c r="B14" s="30" t="str">
        <f t="shared" ca="1" si="1"/>
        <v>North</v>
      </c>
      <c r="C14" s="31">
        <f t="shared" ca="1" si="2"/>
        <v>1200</v>
      </c>
      <c r="D14" s="44" t="str">
        <f t="shared" ca="1" si="3"/>
        <v>Sneha</v>
      </c>
      <c r="J14" s="25"/>
      <c r="K14" s="19"/>
      <c r="L14" s="19"/>
      <c r="M14" s="19"/>
      <c r="N14" s="19"/>
      <c r="O14" s="19"/>
      <c r="P14" s="26"/>
    </row>
    <row r="15" spans="1:16" x14ac:dyDescent="0.25">
      <c r="A15" s="43" t="str">
        <f t="shared" ca="1" si="0"/>
        <v>HP Wireless Mouse</v>
      </c>
      <c r="B15" s="30" t="str">
        <f t="shared" ca="1" si="1"/>
        <v>West</v>
      </c>
      <c r="C15" s="31">
        <f t="shared" ca="1" si="2"/>
        <v>18000</v>
      </c>
      <c r="D15" s="44" t="str">
        <f t="shared" ca="1" si="3"/>
        <v>Kavita</v>
      </c>
      <c r="J15" s="25"/>
      <c r="K15" s="19"/>
      <c r="L15" s="19"/>
      <c r="M15" s="19"/>
      <c r="N15" s="19"/>
      <c r="O15" s="19"/>
      <c r="P15" s="26"/>
    </row>
    <row r="16" spans="1:16" x14ac:dyDescent="0.25">
      <c r="A16" s="43" t="str">
        <f t="shared" ca="1" si="0"/>
        <v>Samsung 24-inch Monitor</v>
      </c>
      <c r="B16" s="30" t="str">
        <f t="shared" ca="1" si="1"/>
        <v>South</v>
      </c>
      <c r="C16" s="31">
        <f t="shared" ca="1" si="2"/>
        <v>18000</v>
      </c>
      <c r="D16" s="44" t="str">
        <f t="shared" ca="1" si="3"/>
        <v>Sneha</v>
      </c>
      <c r="J16" s="25"/>
      <c r="K16" s="19"/>
      <c r="L16" s="19"/>
      <c r="M16" s="19"/>
      <c r="N16" s="19"/>
      <c r="O16" s="19"/>
      <c r="P16" s="26"/>
    </row>
    <row r="17" spans="1:16" x14ac:dyDescent="0.25">
      <c r="A17" s="43" t="str">
        <f t="shared" ca="1" si="0"/>
        <v>Laptop Dell Inspiron 15</v>
      </c>
      <c r="B17" s="30" t="str">
        <f t="shared" ca="1" si="1"/>
        <v>West</v>
      </c>
      <c r="C17" s="31">
        <f t="shared" ca="1" si="2"/>
        <v>62000</v>
      </c>
      <c r="D17" s="44" t="str">
        <f t="shared" ca="1" si="3"/>
        <v>Arjun</v>
      </c>
      <c r="J17" s="27"/>
      <c r="K17" s="28"/>
      <c r="L17" s="28"/>
      <c r="M17" s="28"/>
      <c r="N17" s="28"/>
      <c r="O17" s="28"/>
      <c r="P17" s="29"/>
    </row>
    <row r="18" spans="1:16" x14ac:dyDescent="0.25">
      <c r="A18" s="43" t="str">
        <f t="shared" ca="1" si="0"/>
        <v>Samsung 24-inch Monitor</v>
      </c>
      <c r="B18" s="30" t="str">
        <f t="shared" ca="1" si="1"/>
        <v>South</v>
      </c>
      <c r="C18" s="31">
        <f t="shared" ca="1" si="2"/>
        <v>45000</v>
      </c>
      <c r="D18" s="44" t="str">
        <f t="shared" ca="1" si="3"/>
        <v>Kavita</v>
      </c>
    </row>
    <row r="19" spans="1:16" x14ac:dyDescent="0.25">
      <c r="A19" s="43" t="str">
        <f t="shared" ca="1" si="0"/>
        <v>Samsung 24-inch Monitor</v>
      </c>
      <c r="B19" s="30" t="str">
        <f t="shared" ca="1" si="1"/>
        <v>North</v>
      </c>
      <c r="C19" s="31">
        <f t="shared" ca="1" si="2"/>
        <v>62000</v>
      </c>
      <c r="D19" s="44" t="str">
        <f t="shared" ca="1" si="3"/>
        <v>Ramesh</v>
      </c>
    </row>
    <row r="20" spans="1:16" x14ac:dyDescent="0.25">
      <c r="A20" s="43" t="str">
        <f t="shared" ca="1" si="0"/>
        <v>Lenovo ThinkPad E14 Laptop</v>
      </c>
      <c r="B20" s="30" t="str">
        <f t="shared" ca="1" si="1"/>
        <v>South</v>
      </c>
      <c r="C20" s="31">
        <f t="shared" ca="1" si="2"/>
        <v>1200</v>
      </c>
      <c r="D20" s="44" t="str">
        <f t="shared" ca="1" si="3"/>
        <v>Arjun</v>
      </c>
    </row>
    <row r="21" spans="1:16" x14ac:dyDescent="0.25">
      <c r="A21" s="43" t="str">
        <f t="shared" ca="1" si="0"/>
        <v>HP Wireless Mouse</v>
      </c>
      <c r="B21" s="30" t="str">
        <f t="shared" ca="1" si="1"/>
        <v>West</v>
      </c>
      <c r="C21" s="31">
        <f t="shared" ca="1" si="2"/>
        <v>45000</v>
      </c>
      <c r="D21" s="44" t="str">
        <f t="shared" ca="1" si="3"/>
        <v>Ramesh</v>
      </c>
    </row>
    <row r="22" spans="1:16" x14ac:dyDescent="0.25">
      <c r="A22" s="43" t="str">
        <f t="shared" ca="1" si="0"/>
        <v>Samsung 24-inch Monitor</v>
      </c>
      <c r="B22" s="30" t="str">
        <f t="shared" ca="1" si="1"/>
        <v>East</v>
      </c>
      <c r="C22" s="31">
        <f t="shared" ca="1" si="2"/>
        <v>1200</v>
      </c>
      <c r="D22" s="44" t="str">
        <f t="shared" ca="1" si="3"/>
        <v>Kavita</v>
      </c>
    </row>
    <row r="23" spans="1:16" x14ac:dyDescent="0.25">
      <c r="A23" s="43" t="str">
        <f t="shared" ca="1" si="0"/>
        <v>Lenovo ThinkPad E14 Laptop</v>
      </c>
      <c r="B23" s="30" t="str">
        <f t="shared" ca="1" si="1"/>
        <v>South</v>
      </c>
      <c r="C23" s="31">
        <f t="shared" ca="1" si="2"/>
        <v>45000</v>
      </c>
      <c r="D23" s="44" t="str">
        <f t="shared" ca="1" si="3"/>
        <v>Arjun</v>
      </c>
    </row>
    <row r="24" spans="1:16" x14ac:dyDescent="0.25">
      <c r="A24" s="43" t="str">
        <f t="shared" ca="1" si="0"/>
        <v>HP Wireless Mouse</v>
      </c>
      <c r="B24" s="30" t="str">
        <f t="shared" ca="1" si="1"/>
        <v>North</v>
      </c>
      <c r="C24" s="31">
        <f t="shared" ca="1" si="2"/>
        <v>18000</v>
      </c>
      <c r="D24" s="44" t="str">
        <f t="shared" ca="1" si="3"/>
        <v>Sneha</v>
      </c>
    </row>
    <row r="25" spans="1:16" x14ac:dyDescent="0.25">
      <c r="A25" s="49" t="str">
        <f ca="1">CHOOSE(RANDBETWEEN(1,4),$A$5,$A$6,$A$7,$A$8)</f>
        <v>HP Wireless Mouse</v>
      </c>
      <c r="B25" s="50" t="str">
        <f t="shared" ca="1" si="1"/>
        <v>South</v>
      </c>
      <c r="C25" s="51">
        <f t="shared" ca="1" si="2"/>
        <v>62000</v>
      </c>
      <c r="D25" s="52" t="str">
        <f t="shared" ca="1" si="3"/>
        <v>Kavita</v>
      </c>
    </row>
  </sheetData>
  <mergeCells count="2">
    <mergeCell ref="G1:N2"/>
    <mergeCell ref="J12:P17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A2CB-982A-45E4-B620-9E7929153447}">
  <dimension ref="A1:N25"/>
  <sheetViews>
    <sheetView zoomScale="140" zoomScaleNormal="140" workbookViewId="0">
      <selection activeCell="F26" sqref="F26"/>
    </sheetView>
  </sheetViews>
  <sheetFormatPr defaultRowHeight="15" x14ac:dyDescent="0.25"/>
  <cols>
    <col min="2" max="2" width="15" customWidth="1"/>
    <col min="3" max="3" width="9.140625" customWidth="1"/>
    <col min="6" max="6" width="12.28515625" customWidth="1"/>
  </cols>
  <sheetData>
    <row r="1" spans="1:14" x14ac:dyDescent="0.25">
      <c r="G1" s="10" t="s">
        <v>36</v>
      </c>
      <c r="H1" s="10"/>
      <c r="I1" s="10"/>
      <c r="J1" s="10"/>
      <c r="K1" s="10"/>
      <c r="L1" s="10"/>
      <c r="M1" s="10"/>
      <c r="N1" s="10"/>
    </row>
    <row r="2" spans="1:14" x14ac:dyDescent="0.25">
      <c r="G2" s="10"/>
      <c r="H2" s="10"/>
      <c r="I2" s="10"/>
      <c r="J2" s="10"/>
      <c r="K2" s="10"/>
      <c r="L2" s="10"/>
      <c r="M2" s="10"/>
      <c r="N2" s="10"/>
    </row>
    <row r="3" spans="1:14" x14ac:dyDescent="0.25">
      <c r="E3" s="9"/>
    </row>
    <row r="4" spans="1:14" x14ac:dyDescent="0.25">
      <c r="A4" s="53" t="s">
        <v>53</v>
      </c>
      <c r="B4" s="53" t="s">
        <v>54</v>
      </c>
      <c r="C4" s="53" t="s">
        <v>55</v>
      </c>
      <c r="D4" s="53" t="s">
        <v>56</v>
      </c>
      <c r="E4" s="53" t="s">
        <v>57</v>
      </c>
      <c r="F4" s="53" t="s">
        <v>58</v>
      </c>
    </row>
    <row r="5" spans="1:14" x14ac:dyDescent="0.25">
      <c r="A5" s="4">
        <v>1</v>
      </c>
      <c r="B5" s="4" t="s">
        <v>59</v>
      </c>
      <c r="C5" s="4">
        <v>78</v>
      </c>
      <c r="D5" s="4">
        <v>82</v>
      </c>
      <c r="E5" s="4">
        <v>74</v>
      </c>
      <c r="F5" s="15">
        <f>(C5+D5+E5)/300</f>
        <v>0.78</v>
      </c>
    </row>
    <row r="6" spans="1:14" x14ac:dyDescent="0.25">
      <c r="A6" s="4">
        <v>2</v>
      </c>
      <c r="B6" s="4" t="s">
        <v>60</v>
      </c>
      <c r="C6" s="4">
        <v>65</v>
      </c>
      <c r="D6" s="4">
        <v>70</v>
      </c>
      <c r="E6" s="4">
        <v>68</v>
      </c>
      <c r="F6" s="15">
        <f t="shared" ref="F6:F25" si="0">(C6+D6+E6)/300</f>
        <v>0.67666666666666664</v>
      </c>
    </row>
    <row r="7" spans="1:14" x14ac:dyDescent="0.25">
      <c r="A7" s="4">
        <v>3</v>
      </c>
      <c r="B7" s="4" t="s">
        <v>61</v>
      </c>
      <c r="C7" s="4">
        <v>90</v>
      </c>
      <c r="D7" s="4">
        <v>88</v>
      </c>
      <c r="E7" s="4">
        <v>92</v>
      </c>
      <c r="F7" s="15">
        <f t="shared" si="0"/>
        <v>0.9</v>
      </c>
    </row>
    <row r="8" spans="1:14" x14ac:dyDescent="0.25">
      <c r="A8" s="4">
        <v>4</v>
      </c>
      <c r="B8" s="4" t="s">
        <v>62</v>
      </c>
      <c r="C8" s="4">
        <v>35</v>
      </c>
      <c r="D8" s="4">
        <v>40</v>
      </c>
      <c r="E8" s="4">
        <v>38</v>
      </c>
      <c r="F8" s="15">
        <f t="shared" si="0"/>
        <v>0.37666666666666665</v>
      </c>
    </row>
    <row r="9" spans="1:14" x14ac:dyDescent="0.25">
      <c r="A9" s="4">
        <v>5</v>
      </c>
      <c r="B9" s="4" t="s">
        <v>63</v>
      </c>
      <c r="C9" s="4">
        <v>55</v>
      </c>
      <c r="D9" s="4">
        <v>60</v>
      </c>
      <c r="E9" s="4">
        <v>58</v>
      </c>
      <c r="F9" s="15">
        <f t="shared" si="0"/>
        <v>0.57666666666666666</v>
      </c>
    </row>
    <row r="10" spans="1:14" x14ac:dyDescent="0.25">
      <c r="A10" s="4">
        <v>6</v>
      </c>
      <c r="B10" s="4" t="str">
        <f ca="1">CHOOSE(RANDBETWEEN(1,5),$B$5,$B$6,$B$7,$B$8,$B$9)</f>
        <v>Bhavya</v>
      </c>
      <c r="C10" s="4">
        <f ca="1">CHOOSE(RANDBETWEEN(1,5),$C$5,$C$6,$C$7,$C$8,$C$9)</f>
        <v>55</v>
      </c>
      <c r="D10" s="4">
        <f ca="1">CHOOSE(RANDBETWEEN(1,5),$D$5,$D$6,$D$7,$D$8,$D$9)</f>
        <v>60</v>
      </c>
      <c r="E10" s="4">
        <f ca="1">CHOOSE(RANDBETWEEN(1,5),$E$5,$E$6,$E$7,$E$8,$E$9)</f>
        <v>38</v>
      </c>
      <c r="F10" s="15">
        <f t="shared" ca="1" si="0"/>
        <v>0.51</v>
      </c>
      <c r="J10" s="20" t="s">
        <v>159</v>
      </c>
      <c r="K10" s="21"/>
      <c r="L10" s="21"/>
      <c r="M10" s="21"/>
      <c r="N10" s="21"/>
    </row>
    <row r="11" spans="1:14" x14ac:dyDescent="0.25">
      <c r="A11" s="4">
        <v>7</v>
      </c>
      <c r="B11" s="4" t="str">
        <f t="shared" ref="B11:B25" ca="1" si="1">CHOOSE(RANDBETWEEN(1,5),$B$5,$B$6,$B$7,$B$8,$B$9)</f>
        <v>Esha</v>
      </c>
      <c r="C11" s="4">
        <f t="shared" ref="C11:C25" ca="1" si="2">CHOOSE(RANDBETWEEN(1,5),$C$5,$C$6,$C$7,$C$8,$C$9)</f>
        <v>90</v>
      </c>
      <c r="D11" s="4">
        <f t="shared" ref="D11:D25" ca="1" si="3">CHOOSE(RANDBETWEEN(1,5),$D$5,$D$6,$D$7,$D$8,$D$9)</f>
        <v>88</v>
      </c>
      <c r="E11" s="4">
        <f t="shared" ref="E11:E25" ca="1" si="4">CHOOSE(RANDBETWEEN(1,5),$E$5,$E$6,$E$7,$E$8,$E$9)</f>
        <v>92</v>
      </c>
      <c r="F11" s="15">
        <f t="shared" ca="1" si="0"/>
        <v>0.9</v>
      </c>
      <c r="J11" s="21"/>
      <c r="K11" s="21"/>
      <c r="L11" s="21"/>
      <c r="M11" s="21"/>
      <c r="N11" s="21"/>
    </row>
    <row r="12" spans="1:14" x14ac:dyDescent="0.25">
      <c r="A12" s="4">
        <v>8</v>
      </c>
      <c r="B12" s="4" t="str">
        <f t="shared" ca="1" si="1"/>
        <v>Bhavya</v>
      </c>
      <c r="C12" s="4">
        <f t="shared" ca="1" si="2"/>
        <v>65</v>
      </c>
      <c r="D12" s="4">
        <f t="shared" ca="1" si="3"/>
        <v>40</v>
      </c>
      <c r="E12" s="4">
        <f t="shared" ca="1" si="4"/>
        <v>38</v>
      </c>
      <c r="F12" s="15">
        <f t="shared" ca="1" si="0"/>
        <v>0.47666666666666668</v>
      </c>
      <c r="J12" s="21"/>
      <c r="K12" s="21"/>
      <c r="L12" s="21"/>
      <c r="M12" s="21"/>
      <c r="N12" s="21"/>
    </row>
    <row r="13" spans="1:14" x14ac:dyDescent="0.25">
      <c r="A13" s="4">
        <v>9</v>
      </c>
      <c r="B13" s="4" t="str">
        <f t="shared" ca="1" si="1"/>
        <v>Bhavya</v>
      </c>
      <c r="C13" s="4">
        <f t="shared" ca="1" si="2"/>
        <v>55</v>
      </c>
      <c r="D13" s="4">
        <f t="shared" ca="1" si="3"/>
        <v>88</v>
      </c>
      <c r="E13" s="4">
        <f t="shared" ca="1" si="4"/>
        <v>74</v>
      </c>
      <c r="F13" s="15">
        <f t="shared" ca="1" si="0"/>
        <v>0.72333333333333338</v>
      </c>
      <c r="J13" s="21"/>
      <c r="K13" s="21"/>
      <c r="L13" s="21"/>
      <c r="M13" s="21"/>
      <c r="N13" s="21"/>
    </row>
    <row r="14" spans="1:14" x14ac:dyDescent="0.25">
      <c r="A14" s="4">
        <v>10</v>
      </c>
      <c r="B14" s="4" t="str">
        <f t="shared" ca="1" si="1"/>
        <v>Divya</v>
      </c>
      <c r="C14" s="4">
        <f t="shared" ca="1" si="2"/>
        <v>65</v>
      </c>
      <c r="D14" s="4">
        <f t="shared" ca="1" si="3"/>
        <v>70</v>
      </c>
      <c r="E14" s="4">
        <f t="shared" ca="1" si="4"/>
        <v>74</v>
      </c>
      <c r="F14" s="15">
        <f t="shared" ca="1" si="0"/>
        <v>0.69666666666666666</v>
      </c>
      <c r="J14" s="21"/>
      <c r="K14" s="21"/>
      <c r="L14" s="21"/>
      <c r="M14" s="21"/>
      <c r="N14" s="21"/>
    </row>
    <row r="15" spans="1:14" x14ac:dyDescent="0.25">
      <c r="A15" s="4">
        <v>11</v>
      </c>
      <c r="B15" s="4" t="str">
        <f t="shared" ca="1" si="1"/>
        <v>Bhavya</v>
      </c>
      <c r="C15" s="4">
        <f t="shared" ca="1" si="2"/>
        <v>90</v>
      </c>
      <c r="D15" s="4">
        <f t="shared" ca="1" si="3"/>
        <v>40</v>
      </c>
      <c r="E15" s="4">
        <f t="shared" ca="1" si="4"/>
        <v>68</v>
      </c>
      <c r="F15" s="15">
        <f t="shared" ca="1" si="0"/>
        <v>0.66</v>
      </c>
    </row>
    <row r="16" spans="1:14" x14ac:dyDescent="0.25">
      <c r="A16" s="4">
        <v>12</v>
      </c>
      <c r="B16" s="4" t="str">
        <f t="shared" ca="1" si="1"/>
        <v>Chirag</v>
      </c>
      <c r="C16" s="4">
        <f t="shared" ca="1" si="2"/>
        <v>65</v>
      </c>
      <c r="D16" s="4">
        <f t="shared" ca="1" si="3"/>
        <v>40</v>
      </c>
      <c r="E16" s="4">
        <f t="shared" ca="1" si="4"/>
        <v>74</v>
      </c>
      <c r="F16" s="15">
        <f t="shared" ca="1" si="0"/>
        <v>0.59666666666666668</v>
      </c>
    </row>
    <row r="17" spans="1:6" x14ac:dyDescent="0.25">
      <c r="A17" s="4">
        <v>13</v>
      </c>
      <c r="B17" s="4" t="str">
        <f t="shared" ca="1" si="1"/>
        <v>Chirag</v>
      </c>
      <c r="C17" s="4">
        <f t="shared" ca="1" si="2"/>
        <v>78</v>
      </c>
      <c r="D17" s="4">
        <f t="shared" ca="1" si="3"/>
        <v>40</v>
      </c>
      <c r="E17" s="4">
        <f t="shared" ca="1" si="4"/>
        <v>74</v>
      </c>
      <c r="F17" s="15">
        <f t="shared" ca="1" si="0"/>
        <v>0.64</v>
      </c>
    </row>
    <row r="18" spans="1:6" x14ac:dyDescent="0.25">
      <c r="A18" s="4">
        <v>14</v>
      </c>
      <c r="B18" s="4" t="str">
        <f t="shared" ca="1" si="1"/>
        <v>Divya</v>
      </c>
      <c r="C18" s="4">
        <f t="shared" ca="1" si="2"/>
        <v>35</v>
      </c>
      <c r="D18" s="4">
        <f t="shared" ca="1" si="3"/>
        <v>70</v>
      </c>
      <c r="E18" s="4">
        <f t="shared" ca="1" si="4"/>
        <v>38</v>
      </c>
      <c r="F18" s="15">
        <f t="shared" ca="1" si="0"/>
        <v>0.47666666666666668</v>
      </c>
    </row>
    <row r="19" spans="1:6" x14ac:dyDescent="0.25">
      <c r="A19" s="4">
        <v>15</v>
      </c>
      <c r="B19" s="4" t="str">
        <f t="shared" ca="1" si="1"/>
        <v>Chirag</v>
      </c>
      <c r="C19" s="4">
        <f t="shared" ca="1" si="2"/>
        <v>78</v>
      </c>
      <c r="D19" s="4">
        <f t="shared" ca="1" si="3"/>
        <v>88</v>
      </c>
      <c r="E19" s="4">
        <f t="shared" ca="1" si="4"/>
        <v>68</v>
      </c>
      <c r="F19" s="15">
        <f t="shared" ca="1" si="0"/>
        <v>0.78</v>
      </c>
    </row>
    <row r="20" spans="1:6" x14ac:dyDescent="0.25">
      <c r="A20" s="4">
        <v>16</v>
      </c>
      <c r="B20" s="4" t="str">
        <f t="shared" ca="1" si="1"/>
        <v>Esha</v>
      </c>
      <c r="C20" s="4">
        <f t="shared" ca="1" si="2"/>
        <v>55</v>
      </c>
      <c r="D20" s="4">
        <f t="shared" ca="1" si="3"/>
        <v>88</v>
      </c>
      <c r="E20" s="4">
        <f t="shared" ca="1" si="4"/>
        <v>68</v>
      </c>
      <c r="F20" s="15">
        <f t="shared" ca="1" si="0"/>
        <v>0.70333333333333337</v>
      </c>
    </row>
    <row r="21" spans="1:6" x14ac:dyDescent="0.25">
      <c r="A21" s="4">
        <v>17</v>
      </c>
      <c r="B21" s="4" t="str">
        <f t="shared" ca="1" si="1"/>
        <v>Divya</v>
      </c>
      <c r="C21" s="4">
        <f t="shared" ca="1" si="2"/>
        <v>90</v>
      </c>
      <c r="D21" s="4">
        <f t="shared" ca="1" si="3"/>
        <v>40</v>
      </c>
      <c r="E21" s="4">
        <f t="shared" ca="1" si="4"/>
        <v>38</v>
      </c>
      <c r="F21" s="15">
        <f t="shared" ca="1" si="0"/>
        <v>0.56000000000000005</v>
      </c>
    </row>
    <row r="22" spans="1:6" x14ac:dyDescent="0.25">
      <c r="A22" s="4">
        <v>18</v>
      </c>
      <c r="B22" s="4" t="str">
        <f t="shared" ca="1" si="1"/>
        <v>Bhavya</v>
      </c>
      <c r="C22" s="4">
        <f t="shared" ca="1" si="2"/>
        <v>35</v>
      </c>
      <c r="D22" s="4">
        <f t="shared" ca="1" si="3"/>
        <v>70</v>
      </c>
      <c r="E22" s="4">
        <f t="shared" ca="1" si="4"/>
        <v>58</v>
      </c>
      <c r="F22" s="15">
        <f t="shared" ca="1" si="0"/>
        <v>0.54333333333333333</v>
      </c>
    </row>
    <row r="23" spans="1:6" x14ac:dyDescent="0.25">
      <c r="A23" s="4">
        <v>19</v>
      </c>
      <c r="B23" s="4" t="str">
        <f t="shared" ca="1" si="1"/>
        <v>Chirag</v>
      </c>
      <c r="C23" s="4">
        <f t="shared" ca="1" si="2"/>
        <v>78</v>
      </c>
      <c r="D23" s="4">
        <f t="shared" ca="1" si="3"/>
        <v>88</v>
      </c>
      <c r="E23" s="4">
        <f t="shared" ca="1" si="4"/>
        <v>38</v>
      </c>
      <c r="F23" s="15">
        <f t="shared" ca="1" si="0"/>
        <v>0.68</v>
      </c>
    </row>
    <row r="24" spans="1:6" x14ac:dyDescent="0.25">
      <c r="A24" s="4">
        <v>20</v>
      </c>
      <c r="B24" s="4" t="str">
        <f t="shared" ca="1" si="1"/>
        <v>Aakash</v>
      </c>
      <c r="C24" s="4">
        <f t="shared" ca="1" si="2"/>
        <v>90</v>
      </c>
      <c r="D24" s="4">
        <f t="shared" ca="1" si="3"/>
        <v>88</v>
      </c>
      <c r="E24" s="4">
        <f t="shared" ca="1" si="4"/>
        <v>38</v>
      </c>
      <c r="F24" s="15">
        <f t="shared" ca="1" si="0"/>
        <v>0.72</v>
      </c>
    </row>
    <row r="25" spans="1:6" x14ac:dyDescent="0.25">
      <c r="A25" s="39">
        <v>21</v>
      </c>
      <c r="B25" s="39" t="str">
        <f t="shared" ca="1" si="1"/>
        <v>Bhavya</v>
      </c>
      <c r="C25" s="39">
        <f t="shared" ca="1" si="2"/>
        <v>35</v>
      </c>
      <c r="D25" s="39">
        <f t="shared" ca="1" si="3"/>
        <v>88</v>
      </c>
      <c r="E25" s="39">
        <f t="shared" ca="1" si="4"/>
        <v>92</v>
      </c>
      <c r="F25" s="54">
        <f t="shared" ca="1" si="0"/>
        <v>0.71666666666666667</v>
      </c>
    </row>
  </sheetData>
  <mergeCells count="2">
    <mergeCell ref="G1:N2"/>
    <mergeCell ref="J10:N1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8A8E-C08E-4D69-B879-CF7F3566165C}">
  <dimension ref="A1:N1048576"/>
  <sheetViews>
    <sheetView zoomScale="140" zoomScaleNormal="140" workbookViewId="0">
      <selection activeCell="D29" sqref="D29"/>
    </sheetView>
  </sheetViews>
  <sheetFormatPr defaultRowHeight="15" x14ac:dyDescent="0.25"/>
  <cols>
    <col min="1" max="1" width="12.28515625" customWidth="1"/>
    <col min="2" max="2" width="11.140625" style="3" bestFit="1" customWidth="1"/>
    <col min="3" max="3" width="14.140625" customWidth="1"/>
    <col min="7" max="7" width="12.7109375" customWidth="1"/>
    <col min="14" max="14" width="11.42578125" customWidth="1"/>
  </cols>
  <sheetData>
    <row r="1" spans="1:14" x14ac:dyDescent="0.25">
      <c r="G1" s="10" t="s">
        <v>64</v>
      </c>
      <c r="H1" s="11"/>
      <c r="I1" s="11"/>
      <c r="J1" s="11"/>
      <c r="K1" s="11"/>
      <c r="L1" s="11"/>
      <c r="M1" s="11"/>
      <c r="N1" s="11"/>
    </row>
    <row r="2" spans="1:14" x14ac:dyDescent="0.25">
      <c r="G2" s="11"/>
      <c r="H2" s="11"/>
      <c r="I2" s="11"/>
      <c r="J2" s="11"/>
      <c r="K2" s="11"/>
      <c r="L2" s="11"/>
      <c r="M2" s="11"/>
      <c r="N2" s="11"/>
    </row>
    <row r="4" spans="1:14" x14ac:dyDescent="0.25">
      <c r="A4" s="56" t="s">
        <v>65</v>
      </c>
      <c r="B4" s="57" t="s">
        <v>66</v>
      </c>
      <c r="C4" s="58" t="s">
        <v>39</v>
      </c>
    </row>
    <row r="5" spans="1:14" x14ac:dyDescent="0.25">
      <c r="A5" s="12" t="s">
        <v>67</v>
      </c>
      <c r="B5" s="6">
        <v>45292</v>
      </c>
      <c r="C5" s="55">
        <v>12000</v>
      </c>
    </row>
    <row r="6" spans="1:14" x14ac:dyDescent="0.25">
      <c r="A6" s="12" t="s">
        <v>68</v>
      </c>
      <c r="B6" s="6">
        <v>45294</v>
      </c>
      <c r="C6" s="55">
        <v>25000</v>
      </c>
    </row>
    <row r="7" spans="1:14" x14ac:dyDescent="0.25">
      <c r="A7" s="12" t="s">
        <v>69</v>
      </c>
      <c r="B7" s="6">
        <v>45296</v>
      </c>
      <c r="C7" s="55">
        <v>8000</v>
      </c>
    </row>
    <row r="8" spans="1:14" x14ac:dyDescent="0.25">
      <c r="A8" s="12" t="s">
        <v>70</v>
      </c>
      <c r="B8" s="6">
        <v>45299</v>
      </c>
      <c r="C8" s="55">
        <v>32000</v>
      </c>
    </row>
    <row r="9" spans="1:14" x14ac:dyDescent="0.25">
      <c r="A9" s="12" t="s">
        <v>71</v>
      </c>
      <c r="B9" s="6">
        <v>45301</v>
      </c>
      <c r="C9" s="55">
        <v>15000</v>
      </c>
    </row>
    <row r="10" spans="1:14" x14ac:dyDescent="0.25">
      <c r="A10" s="12" t="s">
        <v>115</v>
      </c>
      <c r="B10" s="6">
        <f ca="1">CHOOSE(RANDBETWEEN(1,5),$B$5,$B$6,$B$7,$B$8,$B$9)</f>
        <v>45301</v>
      </c>
      <c r="C10" s="55">
        <f ca="1">CHOOSE(RANDBETWEEN(1,5),$C$5,$C$6,$C$7,$C$8,$C$9)</f>
        <v>15000</v>
      </c>
      <c r="G10" s="22" t="s">
        <v>160</v>
      </c>
      <c r="H10" s="23"/>
      <c r="I10" s="23"/>
      <c r="J10" s="23"/>
      <c r="K10" s="23"/>
      <c r="L10" s="24"/>
    </row>
    <row r="11" spans="1:14" x14ac:dyDescent="0.25">
      <c r="A11" s="12" t="s">
        <v>116</v>
      </c>
      <c r="B11" s="6">
        <f t="shared" ref="B11:B24" ca="1" si="0">CHOOSE(RANDBETWEEN(1,5),$B$5,$B$6,$B$7,$B$8,$B$9)</f>
        <v>45301</v>
      </c>
      <c r="C11" s="55">
        <f t="shared" ref="C11:C24" ca="1" si="1">CHOOSE(RANDBETWEEN(1,5),$C$5,$C$6,$C$7,$C$8,$C$9)</f>
        <v>12000</v>
      </c>
      <c r="G11" s="25"/>
      <c r="H11" s="19"/>
      <c r="I11" s="19"/>
      <c r="J11" s="19"/>
      <c r="K11" s="19"/>
      <c r="L11" s="26"/>
    </row>
    <row r="12" spans="1:14" x14ac:dyDescent="0.25">
      <c r="A12" s="12" t="s">
        <v>117</v>
      </c>
      <c r="B12" s="6">
        <f t="shared" ca="1" si="0"/>
        <v>45299</v>
      </c>
      <c r="C12" s="55">
        <f t="shared" ca="1" si="1"/>
        <v>8000</v>
      </c>
      <c r="G12" s="25"/>
      <c r="H12" s="19"/>
      <c r="I12" s="19"/>
      <c r="J12" s="19"/>
      <c r="K12" s="19"/>
      <c r="L12" s="26"/>
    </row>
    <row r="13" spans="1:14" x14ac:dyDescent="0.25">
      <c r="A13" s="12" t="s">
        <v>118</v>
      </c>
      <c r="B13" s="6">
        <f t="shared" ca="1" si="0"/>
        <v>45296</v>
      </c>
      <c r="C13" s="55">
        <f t="shared" ca="1" si="1"/>
        <v>32000</v>
      </c>
      <c r="F13" s="1"/>
      <c r="G13" s="25"/>
      <c r="H13" s="19"/>
      <c r="I13" s="19"/>
      <c r="J13" s="19"/>
      <c r="K13" s="19"/>
      <c r="L13" s="26"/>
    </row>
    <row r="14" spans="1:14" x14ac:dyDescent="0.25">
      <c r="A14" s="12" t="s">
        <v>119</v>
      </c>
      <c r="B14" s="6">
        <f t="shared" ca="1" si="0"/>
        <v>45294</v>
      </c>
      <c r="C14" s="55">
        <f t="shared" ca="1" si="1"/>
        <v>8000</v>
      </c>
      <c r="G14" s="25"/>
      <c r="H14" s="19"/>
      <c r="I14" s="19"/>
      <c r="J14" s="19"/>
      <c r="K14" s="19"/>
      <c r="L14" s="26"/>
    </row>
    <row r="15" spans="1:14" x14ac:dyDescent="0.25">
      <c r="A15" s="12" t="s">
        <v>120</v>
      </c>
      <c r="B15" s="6">
        <f t="shared" ca="1" si="0"/>
        <v>45296</v>
      </c>
      <c r="C15" s="55">
        <f t="shared" ca="1" si="1"/>
        <v>12000</v>
      </c>
      <c r="G15" s="27"/>
      <c r="H15" s="28"/>
      <c r="I15" s="28"/>
      <c r="J15" s="28"/>
      <c r="K15" s="28"/>
      <c r="L15" s="29"/>
    </row>
    <row r="16" spans="1:14" x14ac:dyDescent="0.25">
      <c r="A16" s="12" t="s">
        <v>121</v>
      </c>
      <c r="B16" s="6">
        <f t="shared" ca="1" si="0"/>
        <v>45296</v>
      </c>
      <c r="C16" s="55">
        <f t="shared" ca="1" si="1"/>
        <v>8000</v>
      </c>
    </row>
    <row r="17" spans="1:3" x14ac:dyDescent="0.25">
      <c r="A17" s="12" t="s">
        <v>122</v>
      </c>
      <c r="B17" s="6">
        <f t="shared" ca="1" si="0"/>
        <v>45301</v>
      </c>
      <c r="C17" s="55">
        <f t="shared" ca="1" si="1"/>
        <v>25000</v>
      </c>
    </row>
    <row r="18" spans="1:3" x14ac:dyDescent="0.25">
      <c r="A18" s="12" t="s">
        <v>123</v>
      </c>
      <c r="B18" s="6">
        <f t="shared" ca="1" si="0"/>
        <v>45301</v>
      </c>
      <c r="C18" s="55">
        <f t="shared" ca="1" si="1"/>
        <v>8000</v>
      </c>
    </row>
    <row r="19" spans="1:3" x14ac:dyDescent="0.25">
      <c r="A19" s="12" t="s">
        <v>124</v>
      </c>
      <c r="B19" s="6">
        <f t="shared" ca="1" si="0"/>
        <v>45299</v>
      </c>
      <c r="C19" s="55">
        <f t="shared" ca="1" si="1"/>
        <v>25000</v>
      </c>
    </row>
    <row r="20" spans="1:3" x14ac:dyDescent="0.25">
      <c r="A20" s="12" t="s">
        <v>125</v>
      </c>
      <c r="B20" s="6">
        <f t="shared" ca="1" si="0"/>
        <v>45296</v>
      </c>
      <c r="C20" s="55">
        <f t="shared" ca="1" si="1"/>
        <v>12000</v>
      </c>
    </row>
    <row r="21" spans="1:3" x14ac:dyDescent="0.25">
      <c r="A21" s="12" t="s">
        <v>126</v>
      </c>
      <c r="B21" s="6">
        <f t="shared" ca="1" si="0"/>
        <v>45292</v>
      </c>
      <c r="C21" s="55">
        <f t="shared" ca="1" si="1"/>
        <v>32000</v>
      </c>
    </row>
    <row r="22" spans="1:3" x14ac:dyDescent="0.25">
      <c r="A22" s="12" t="s">
        <v>127</v>
      </c>
      <c r="B22" s="6">
        <f t="shared" ca="1" si="0"/>
        <v>45299</v>
      </c>
      <c r="C22" s="55">
        <f t="shared" ca="1" si="1"/>
        <v>32000</v>
      </c>
    </row>
    <row r="23" spans="1:3" x14ac:dyDescent="0.25">
      <c r="A23" s="12" t="s">
        <v>128</v>
      </c>
      <c r="B23" s="6">
        <f t="shared" ca="1" si="0"/>
        <v>45301</v>
      </c>
      <c r="C23" s="55">
        <f t="shared" ca="1" si="1"/>
        <v>25000</v>
      </c>
    </row>
    <row r="24" spans="1:3" x14ac:dyDescent="0.25">
      <c r="A24" s="38" t="s">
        <v>129</v>
      </c>
      <c r="B24" s="59">
        <f t="shared" ca="1" si="0"/>
        <v>45294</v>
      </c>
      <c r="C24" s="60">
        <f t="shared" ca="1" si="1"/>
        <v>8000</v>
      </c>
    </row>
    <row r="25" spans="1:3" x14ac:dyDescent="0.25">
      <c r="B25" s="18" t="s">
        <v>130</v>
      </c>
      <c r="C25" s="17">
        <f ca="1">SUM(C5:C24)</f>
        <v>354000</v>
      </c>
    </row>
    <row r="26" spans="1:3" x14ac:dyDescent="0.25">
      <c r="B26" s="18" t="s">
        <v>131</v>
      </c>
      <c r="C26" s="17">
        <f ca="1">AVERAGE(C5:C24)</f>
        <v>17700</v>
      </c>
    </row>
    <row r="27" spans="1:3" x14ac:dyDescent="0.25">
      <c r="B27" s="18" t="s">
        <v>132</v>
      </c>
      <c r="C27" s="17">
        <f ca="1">MAX(C5:C24)</f>
        <v>32000</v>
      </c>
    </row>
    <row r="28" spans="1:3" x14ac:dyDescent="0.25">
      <c r="B28" s="18" t="s">
        <v>133</v>
      </c>
      <c r="C28" s="17">
        <f ca="1">MIN(C5:C24)</f>
        <v>8000</v>
      </c>
    </row>
    <row r="1048576" spans="3:3" x14ac:dyDescent="0.25">
      <c r="C1048576">
        <f ca="1">SUM(C24)</f>
        <v>8000</v>
      </c>
    </row>
  </sheetData>
  <mergeCells count="2">
    <mergeCell ref="G1:N2"/>
    <mergeCell ref="G10:L15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B2B1-5D8C-4278-9036-CFFCA3800E13}">
  <dimension ref="A1:N31"/>
  <sheetViews>
    <sheetView zoomScale="148" zoomScaleNormal="148" workbookViewId="0">
      <selection activeCell="D27" sqref="D27"/>
    </sheetView>
  </sheetViews>
  <sheetFormatPr defaultRowHeight="15" x14ac:dyDescent="0.25"/>
  <cols>
    <col min="1" max="1" width="16.5703125" customWidth="1"/>
    <col min="2" max="2" width="12.85546875" customWidth="1"/>
    <col min="3" max="3" width="10.140625" customWidth="1"/>
  </cols>
  <sheetData>
    <row r="1" spans="1:14" x14ac:dyDescent="0.25">
      <c r="G1" s="10" t="s">
        <v>79</v>
      </c>
      <c r="H1" s="10"/>
      <c r="I1" s="10"/>
      <c r="J1" s="10"/>
      <c r="K1" s="10"/>
      <c r="L1" s="10"/>
      <c r="M1" s="10"/>
      <c r="N1" s="10"/>
    </row>
    <row r="2" spans="1:14" x14ac:dyDescent="0.25">
      <c r="G2" s="10"/>
      <c r="H2" s="10"/>
      <c r="I2" s="10"/>
      <c r="J2" s="10"/>
      <c r="K2" s="10"/>
      <c r="L2" s="10"/>
      <c r="M2" s="10"/>
      <c r="N2" s="10"/>
    </row>
    <row r="4" spans="1:14" x14ac:dyDescent="0.25">
      <c r="A4" s="56" t="s">
        <v>72</v>
      </c>
      <c r="B4" s="61" t="s">
        <v>2</v>
      </c>
      <c r="C4" s="58" t="s">
        <v>3</v>
      </c>
    </row>
    <row r="5" spans="1:14" x14ac:dyDescent="0.25">
      <c r="A5" s="12" t="s">
        <v>73</v>
      </c>
      <c r="B5" s="4" t="s">
        <v>6</v>
      </c>
      <c r="C5" s="55">
        <v>28000</v>
      </c>
    </row>
    <row r="6" spans="1:14" x14ac:dyDescent="0.25">
      <c r="A6" s="12" t="s">
        <v>74</v>
      </c>
      <c r="B6" s="4" t="s">
        <v>8</v>
      </c>
      <c r="C6" s="55">
        <v>45000</v>
      </c>
    </row>
    <row r="7" spans="1:14" x14ac:dyDescent="0.25">
      <c r="A7" s="12" t="s">
        <v>75</v>
      </c>
      <c r="B7" s="4" t="s">
        <v>8</v>
      </c>
      <c r="C7" s="55">
        <v>50000</v>
      </c>
    </row>
    <row r="8" spans="1:14" x14ac:dyDescent="0.25">
      <c r="A8" s="12" t="s">
        <v>76</v>
      </c>
      <c r="B8" s="4" t="s">
        <v>10</v>
      </c>
      <c r="C8" s="55">
        <v>42000</v>
      </c>
    </row>
    <row r="9" spans="1:14" x14ac:dyDescent="0.25">
      <c r="A9" s="12" t="s">
        <v>77</v>
      </c>
      <c r="B9" s="4" t="s">
        <v>6</v>
      </c>
      <c r="C9" s="55">
        <v>30000</v>
      </c>
      <c r="G9" s="20" t="s">
        <v>161</v>
      </c>
      <c r="H9" s="21"/>
      <c r="I9" s="21"/>
      <c r="J9" s="21"/>
      <c r="K9" s="21"/>
      <c r="L9" s="21"/>
    </row>
    <row r="10" spans="1:14" x14ac:dyDescent="0.25">
      <c r="A10" s="12" t="s">
        <v>78</v>
      </c>
      <c r="B10" s="4" t="s">
        <v>10</v>
      </c>
      <c r="C10" s="55">
        <v>38000</v>
      </c>
      <c r="G10" s="21"/>
      <c r="H10" s="21"/>
      <c r="I10" s="21"/>
      <c r="J10" s="21"/>
      <c r="K10" s="21"/>
      <c r="L10" s="21"/>
    </row>
    <row r="11" spans="1:14" x14ac:dyDescent="0.25">
      <c r="A11" s="12" t="str">
        <f ca="1">CHOOSE(RANDBETWEEN(1,6),$A$5,$A$6,$A$7,$A$8,$A$9,$A$10)</f>
        <v>Aman</v>
      </c>
      <c r="B11" s="7" t="str">
        <f ca="1">CHOOSE(RANDBETWEEN(1,6),$B$5,$B$6,$B$7,$B$8,$B$9,$B$10)</f>
        <v>IT</v>
      </c>
      <c r="C11" s="55">
        <f ca="1">CHOOSE(RANDBETWEEN(1,6),$C$5,$C$6,$C$7,$C$8,$C$9,$C$10)</f>
        <v>28000</v>
      </c>
      <c r="G11" s="21"/>
      <c r="H11" s="21"/>
      <c r="I11" s="21"/>
      <c r="J11" s="21"/>
      <c r="K11" s="21"/>
      <c r="L11" s="21"/>
    </row>
    <row r="12" spans="1:14" x14ac:dyDescent="0.25">
      <c r="A12" s="12" t="str">
        <f t="shared" ref="A12:A25" ca="1" si="0">CHOOSE(RANDBETWEEN(1,6),$A$5,$A$6,$A$7,$A$8,$A$9,$A$10)</f>
        <v>Meena</v>
      </c>
      <c r="B12" s="7" t="str">
        <f t="shared" ref="B12:B25" ca="1" si="1">CHOOSE(RANDBETWEEN(1,6),$B$5,$B$6,$B$7,$B$8,$B$9,$B$10)</f>
        <v>IT</v>
      </c>
      <c r="C12" s="55">
        <f t="shared" ref="C12:C25" ca="1" si="2">CHOOSE(RANDBETWEEN(1,6),$C$5,$C$6,$C$7,$C$8,$C$9,$C$10)</f>
        <v>28000</v>
      </c>
      <c r="G12" s="21"/>
      <c r="H12" s="21"/>
      <c r="I12" s="21"/>
      <c r="J12" s="21"/>
      <c r="K12" s="21"/>
      <c r="L12" s="21"/>
    </row>
    <row r="13" spans="1:14" x14ac:dyDescent="0.25">
      <c r="A13" s="12" t="str">
        <f t="shared" ca="1" si="0"/>
        <v>Ritu</v>
      </c>
      <c r="B13" s="7" t="str">
        <f t="shared" ca="1" si="1"/>
        <v>Finance</v>
      </c>
      <c r="C13" s="55">
        <f t="shared" ca="1" si="2"/>
        <v>42000</v>
      </c>
      <c r="G13" s="21"/>
      <c r="H13" s="21"/>
      <c r="I13" s="21"/>
      <c r="J13" s="21"/>
      <c r="K13" s="21"/>
      <c r="L13" s="21"/>
    </row>
    <row r="14" spans="1:14" x14ac:dyDescent="0.25">
      <c r="A14" s="12" t="str">
        <f t="shared" ca="1" si="0"/>
        <v>Ritu</v>
      </c>
      <c r="B14" s="7" t="str">
        <f t="shared" ca="1" si="1"/>
        <v>HR</v>
      </c>
      <c r="C14" s="55">
        <f t="shared" ca="1" si="2"/>
        <v>28000</v>
      </c>
      <c r="G14" s="21"/>
      <c r="H14" s="21"/>
      <c r="I14" s="21"/>
      <c r="J14" s="21"/>
      <c r="K14" s="21"/>
      <c r="L14" s="21"/>
    </row>
    <row r="15" spans="1:14" x14ac:dyDescent="0.25">
      <c r="A15" s="12" t="str">
        <f t="shared" ca="1" si="0"/>
        <v>Ritu</v>
      </c>
      <c r="B15" s="7" t="str">
        <f t="shared" ca="1" si="1"/>
        <v>HR</v>
      </c>
      <c r="C15" s="55">
        <f t="shared" ca="1" si="2"/>
        <v>38000</v>
      </c>
    </row>
    <row r="16" spans="1:14" x14ac:dyDescent="0.25">
      <c r="A16" s="12" t="str">
        <f t="shared" ca="1" si="0"/>
        <v>Meena</v>
      </c>
      <c r="B16" s="7" t="str">
        <f t="shared" ca="1" si="1"/>
        <v>IT</v>
      </c>
      <c r="C16" s="55">
        <f t="shared" ca="1" si="2"/>
        <v>38000</v>
      </c>
    </row>
    <row r="17" spans="1:3" x14ac:dyDescent="0.25">
      <c r="A17" s="12" t="str">
        <f t="shared" ca="1" si="0"/>
        <v>Ritu</v>
      </c>
      <c r="B17" s="7" t="str">
        <f t="shared" ca="1" si="1"/>
        <v>HR</v>
      </c>
      <c r="C17" s="55">
        <f t="shared" ca="1" si="2"/>
        <v>50000</v>
      </c>
    </row>
    <row r="18" spans="1:3" x14ac:dyDescent="0.25">
      <c r="A18" s="12" t="str">
        <f t="shared" ca="1" si="0"/>
        <v>Meena</v>
      </c>
      <c r="B18" s="7" t="str">
        <f t="shared" ca="1" si="1"/>
        <v>HR</v>
      </c>
      <c r="C18" s="55">
        <f t="shared" ca="1" si="2"/>
        <v>45000</v>
      </c>
    </row>
    <row r="19" spans="1:3" x14ac:dyDescent="0.25">
      <c r="A19" s="12" t="str">
        <f t="shared" ca="1" si="0"/>
        <v>Karan</v>
      </c>
      <c r="B19" s="7" t="str">
        <f t="shared" ca="1" si="1"/>
        <v>Finance</v>
      </c>
      <c r="C19" s="55">
        <f t="shared" ca="1" si="2"/>
        <v>30000</v>
      </c>
    </row>
    <row r="20" spans="1:3" x14ac:dyDescent="0.25">
      <c r="A20" s="12" t="str">
        <f t="shared" ca="1" si="0"/>
        <v>Neel</v>
      </c>
      <c r="B20" s="7" t="str">
        <f t="shared" ca="1" si="1"/>
        <v>IT</v>
      </c>
      <c r="C20" s="55">
        <f t="shared" ca="1" si="2"/>
        <v>38000</v>
      </c>
    </row>
    <row r="21" spans="1:3" x14ac:dyDescent="0.25">
      <c r="A21" s="12" t="str">
        <f t="shared" ca="1" si="0"/>
        <v>Aman</v>
      </c>
      <c r="B21" s="7" t="str">
        <f t="shared" ca="1" si="1"/>
        <v>Finance</v>
      </c>
      <c r="C21" s="55">
        <f t="shared" ca="1" si="2"/>
        <v>45000</v>
      </c>
    </row>
    <row r="22" spans="1:3" x14ac:dyDescent="0.25">
      <c r="A22" s="12" t="str">
        <f t="shared" ca="1" si="0"/>
        <v>Karan</v>
      </c>
      <c r="B22" s="7" t="str">
        <f t="shared" ca="1" si="1"/>
        <v>IT</v>
      </c>
      <c r="C22" s="55">
        <f t="shared" ca="1" si="2"/>
        <v>42000</v>
      </c>
    </row>
    <row r="23" spans="1:3" x14ac:dyDescent="0.25">
      <c r="A23" s="12" t="str">
        <f t="shared" ca="1" si="0"/>
        <v>Meena</v>
      </c>
      <c r="B23" s="7" t="str">
        <f t="shared" ca="1" si="1"/>
        <v>IT</v>
      </c>
      <c r="C23" s="55">
        <f t="shared" ca="1" si="2"/>
        <v>30000</v>
      </c>
    </row>
    <row r="24" spans="1:3" x14ac:dyDescent="0.25">
      <c r="A24" s="12" t="str">
        <f t="shared" ca="1" si="0"/>
        <v>Meena</v>
      </c>
      <c r="B24" s="7" t="str">
        <f t="shared" ca="1" si="1"/>
        <v>IT</v>
      </c>
      <c r="C24" s="55">
        <f t="shared" ca="1" si="2"/>
        <v>42000</v>
      </c>
    </row>
    <row r="25" spans="1:3" x14ac:dyDescent="0.25">
      <c r="A25" s="38" t="str">
        <f t="shared" ca="1" si="0"/>
        <v>Karan</v>
      </c>
      <c r="B25" s="40" t="str">
        <f t="shared" ca="1" si="1"/>
        <v>HR</v>
      </c>
      <c r="C25" s="60">
        <f t="shared" ca="1" si="2"/>
        <v>38000</v>
      </c>
    </row>
    <row r="27" spans="1:3" x14ac:dyDescent="0.25">
      <c r="B27" s="16" t="s">
        <v>148</v>
      </c>
      <c r="C27" s="17">
        <f ca="1">SUMIF($B$5:$B$25,B5,$C$5:$C$25)</f>
        <v>257000</v>
      </c>
    </row>
    <row r="28" spans="1:3" x14ac:dyDescent="0.25">
      <c r="B28" s="16" t="s">
        <v>149</v>
      </c>
      <c r="C28" s="17">
        <f ca="1">SUMIF($B$5:$B$25,B6,$C$5:$C$25)</f>
        <v>341000</v>
      </c>
    </row>
    <row r="29" spans="1:3" x14ac:dyDescent="0.25">
      <c r="B29" s="16" t="s">
        <v>150</v>
      </c>
      <c r="C29" s="17">
        <f ca="1">SUMIF($B$5:$B$25,B8,$C$5:$C$25)</f>
        <v>197000</v>
      </c>
    </row>
    <row r="30" spans="1:3" x14ac:dyDescent="0.25">
      <c r="B30" s="16" t="s">
        <v>151</v>
      </c>
      <c r="C30" s="17">
        <f ca="1">AVERAGE($C$5:$C$25)</f>
        <v>37857.142857142855</v>
      </c>
    </row>
    <row r="31" spans="1:3" x14ac:dyDescent="0.25">
      <c r="B31" s="16" t="s">
        <v>152</v>
      </c>
      <c r="C31" s="17">
        <f ca="1">COUNTA(A5:A25)</f>
        <v>21</v>
      </c>
    </row>
  </sheetData>
  <mergeCells count="2">
    <mergeCell ref="G1:N2"/>
    <mergeCell ref="G9:L1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517C-94C4-4887-92CC-B11E01EFAA66}">
  <dimension ref="A1:N28"/>
  <sheetViews>
    <sheetView zoomScale="154" zoomScaleNormal="154" workbookViewId="0">
      <selection activeCell="G14" sqref="G14"/>
    </sheetView>
  </sheetViews>
  <sheetFormatPr defaultRowHeight="15" x14ac:dyDescent="0.25"/>
  <cols>
    <col min="1" max="1" width="14.42578125" customWidth="1"/>
  </cols>
  <sheetData>
    <row r="1" spans="1:14" x14ac:dyDescent="0.25">
      <c r="G1" s="10" t="s">
        <v>80</v>
      </c>
      <c r="H1" s="11"/>
      <c r="I1" s="11"/>
      <c r="J1" s="11"/>
      <c r="K1" s="11"/>
      <c r="L1" s="11"/>
      <c r="M1" s="11"/>
      <c r="N1" s="11"/>
    </row>
    <row r="2" spans="1:14" x14ac:dyDescent="0.25">
      <c r="G2" s="11"/>
      <c r="H2" s="11"/>
      <c r="I2" s="11"/>
      <c r="J2" s="11"/>
      <c r="K2" s="11"/>
      <c r="L2" s="11"/>
      <c r="M2" s="11"/>
      <c r="N2" s="11"/>
    </row>
    <row r="4" spans="1:14" x14ac:dyDescent="0.25">
      <c r="A4" s="64" t="s">
        <v>54</v>
      </c>
      <c r="B4" s="65" t="s">
        <v>81</v>
      </c>
      <c r="C4" s="65" t="s">
        <v>82</v>
      </c>
      <c r="D4" s="65" t="s">
        <v>83</v>
      </c>
      <c r="E4" s="65" t="s">
        <v>84</v>
      </c>
      <c r="F4" s="66" t="s">
        <v>85</v>
      </c>
    </row>
    <row r="5" spans="1:14" x14ac:dyDescent="0.25">
      <c r="A5" s="62" t="s">
        <v>59</v>
      </c>
      <c r="B5" s="7" t="s">
        <v>86</v>
      </c>
      <c r="C5" s="7" t="s">
        <v>15</v>
      </c>
      <c r="D5" s="7" t="s">
        <v>86</v>
      </c>
      <c r="E5" s="7" t="s">
        <v>86</v>
      </c>
      <c r="F5" s="63" t="s">
        <v>86</v>
      </c>
    </row>
    <row r="6" spans="1:14" x14ac:dyDescent="0.25">
      <c r="A6" s="62" t="s">
        <v>60</v>
      </c>
      <c r="B6" s="7" t="s">
        <v>86</v>
      </c>
      <c r="C6" s="7" t="s">
        <v>86</v>
      </c>
      <c r="D6" s="7" t="s">
        <v>86</v>
      </c>
      <c r="E6" s="7" t="s">
        <v>15</v>
      </c>
      <c r="F6" s="63" t="s">
        <v>86</v>
      </c>
    </row>
    <row r="7" spans="1:14" x14ac:dyDescent="0.25">
      <c r="A7" s="62" t="s">
        <v>61</v>
      </c>
      <c r="B7" s="7" t="s">
        <v>15</v>
      </c>
      <c r="C7" s="7" t="s">
        <v>86</v>
      </c>
      <c r="D7" s="7" t="s">
        <v>86</v>
      </c>
      <c r="E7" s="7" t="s">
        <v>86</v>
      </c>
      <c r="F7" s="63" t="s">
        <v>86</v>
      </c>
    </row>
    <row r="8" spans="1:14" x14ac:dyDescent="0.25">
      <c r="A8" s="62" t="s">
        <v>62</v>
      </c>
      <c r="B8" s="7" t="s">
        <v>86</v>
      </c>
      <c r="C8" s="7" t="s">
        <v>15</v>
      </c>
      <c r="D8" s="7" t="s">
        <v>15</v>
      </c>
      <c r="E8" s="7" t="s">
        <v>86</v>
      </c>
      <c r="F8" s="63" t="s">
        <v>15</v>
      </c>
    </row>
    <row r="9" spans="1:14" x14ac:dyDescent="0.25">
      <c r="A9" s="62" t="str">
        <f ca="1">CHOOSE(RANDBETWEEN(1,4),$A$5,$A$6,$A$7,$A$8)</f>
        <v>Aakash</v>
      </c>
      <c r="B9" s="7" t="s">
        <v>86</v>
      </c>
      <c r="C9" s="7" t="s">
        <v>15</v>
      </c>
      <c r="D9" s="7" t="s">
        <v>86</v>
      </c>
      <c r="E9" s="7" t="s">
        <v>86</v>
      </c>
      <c r="F9" s="63" t="s">
        <v>86</v>
      </c>
      <c r="I9" s="20" t="s">
        <v>162</v>
      </c>
      <c r="J9" s="21"/>
      <c r="K9" s="21"/>
      <c r="L9" s="21"/>
      <c r="M9" s="21"/>
    </row>
    <row r="10" spans="1:14" x14ac:dyDescent="0.25">
      <c r="A10" s="62" t="str">
        <f t="shared" ref="A10:A25" ca="1" si="0">CHOOSE(RANDBETWEEN(1,4),$A$5,$A$6,$A$7,$A$8)</f>
        <v>Bhavya</v>
      </c>
      <c r="B10" s="7" t="s">
        <v>86</v>
      </c>
      <c r="C10" s="7" t="s">
        <v>86</v>
      </c>
      <c r="D10" s="7" t="s">
        <v>86</v>
      </c>
      <c r="E10" s="7" t="s">
        <v>15</v>
      </c>
      <c r="F10" s="63" t="s">
        <v>86</v>
      </c>
      <c r="I10" s="21"/>
      <c r="J10" s="21"/>
      <c r="K10" s="21"/>
      <c r="L10" s="21"/>
      <c r="M10" s="21"/>
    </row>
    <row r="11" spans="1:14" x14ac:dyDescent="0.25">
      <c r="A11" s="62" t="str">
        <f t="shared" ca="1" si="0"/>
        <v>Aakash</v>
      </c>
      <c r="B11" s="7" t="s">
        <v>15</v>
      </c>
      <c r="C11" s="7" t="s">
        <v>86</v>
      </c>
      <c r="D11" s="7" t="s">
        <v>86</v>
      </c>
      <c r="E11" s="7" t="s">
        <v>86</v>
      </c>
      <c r="F11" s="63" t="s">
        <v>86</v>
      </c>
      <c r="I11" s="21"/>
      <c r="J11" s="21"/>
      <c r="K11" s="21"/>
      <c r="L11" s="21"/>
      <c r="M11" s="21"/>
    </row>
    <row r="12" spans="1:14" x14ac:dyDescent="0.25">
      <c r="A12" s="62" t="str">
        <f t="shared" ca="1" si="0"/>
        <v>Chirag</v>
      </c>
      <c r="B12" s="7" t="s">
        <v>86</v>
      </c>
      <c r="C12" s="7" t="s">
        <v>15</v>
      </c>
      <c r="D12" s="7" t="s">
        <v>15</v>
      </c>
      <c r="E12" s="7" t="s">
        <v>86</v>
      </c>
      <c r="F12" s="63" t="s">
        <v>15</v>
      </c>
      <c r="I12" s="21"/>
      <c r="J12" s="21"/>
      <c r="K12" s="21"/>
      <c r="L12" s="21"/>
      <c r="M12" s="21"/>
    </row>
    <row r="13" spans="1:14" x14ac:dyDescent="0.25">
      <c r="A13" s="62" t="str">
        <f t="shared" ca="1" si="0"/>
        <v>Chirag</v>
      </c>
      <c r="B13" s="7" t="s">
        <v>86</v>
      </c>
      <c r="C13" s="7" t="s">
        <v>15</v>
      </c>
      <c r="D13" s="7" t="s">
        <v>86</v>
      </c>
      <c r="E13" s="7" t="s">
        <v>86</v>
      </c>
      <c r="F13" s="63" t="s">
        <v>86</v>
      </c>
    </row>
    <row r="14" spans="1:14" x14ac:dyDescent="0.25">
      <c r="A14" s="62" t="str">
        <f t="shared" ca="1" si="0"/>
        <v>Chirag</v>
      </c>
      <c r="B14" s="7" t="s">
        <v>86</v>
      </c>
      <c r="C14" s="7" t="s">
        <v>86</v>
      </c>
      <c r="D14" s="7" t="s">
        <v>86</v>
      </c>
      <c r="E14" s="7" t="s">
        <v>15</v>
      </c>
      <c r="F14" s="63" t="s">
        <v>86</v>
      </c>
    </row>
    <row r="15" spans="1:14" x14ac:dyDescent="0.25">
      <c r="A15" s="62" t="str">
        <f t="shared" ca="1" si="0"/>
        <v>Aakash</v>
      </c>
      <c r="B15" s="7" t="s">
        <v>15</v>
      </c>
      <c r="C15" s="7" t="s">
        <v>86</v>
      </c>
      <c r="D15" s="7" t="s">
        <v>86</v>
      </c>
      <c r="E15" s="7" t="s">
        <v>86</v>
      </c>
      <c r="F15" s="63" t="s">
        <v>86</v>
      </c>
    </row>
    <row r="16" spans="1:14" x14ac:dyDescent="0.25">
      <c r="A16" s="62" t="str">
        <f t="shared" ca="1" si="0"/>
        <v>Bhavya</v>
      </c>
      <c r="B16" s="7" t="s">
        <v>86</v>
      </c>
      <c r="C16" s="7" t="s">
        <v>15</v>
      </c>
      <c r="D16" s="7" t="s">
        <v>15</v>
      </c>
      <c r="E16" s="7" t="s">
        <v>86</v>
      </c>
      <c r="F16" s="63" t="s">
        <v>15</v>
      </c>
    </row>
    <row r="17" spans="1:6" x14ac:dyDescent="0.25">
      <c r="A17" s="62" t="str">
        <f t="shared" ca="1" si="0"/>
        <v>Aakash</v>
      </c>
      <c r="B17" s="7" t="s">
        <v>86</v>
      </c>
      <c r="C17" s="7" t="s">
        <v>15</v>
      </c>
      <c r="D17" s="7" t="s">
        <v>86</v>
      </c>
      <c r="E17" s="7" t="s">
        <v>86</v>
      </c>
      <c r="F17" s="63" t="s">
        <v>86</v>
      </c>
    </row>
    <row r="18" spans="1:6" x14ac:dyDescent="0.25">
      <c r="A18" s="62" t="str">
        <f t="shared" ca="1" si="0"/>
        <v>Aakash</v>
      </c>
      <c r="B18" s="7" t="s">
        <v>86</v>
      </c>
      <c r="C18" s="7" t="s">
        <v>86</v>
      </c>
      <c r="D18" s="7" t="s">
        <v>86</v>
      </c>
      <c r="E18" s="7" t="s">
        <v>15</v>
      </c>
      <c r="F18" s="63" t="s">
        <v>86</v>
      </c>
    </row>
    <row r="19" spans="1:6" x14ac:dyDescent="0.25">
      <c r="A19" s="62" t="str">
        <f t="shared" ca="1" si="0"/>
        <v>Aakash</v>
      </c>
      <c r="B19" s="7" t="s">
        <v>15</v>
      </c>
      <c r="C19" s="7" t="s">
        <v>86</v>
      </c>
      <c r="D19" s="7" t="s">
        <v>86</v>
      </c>
      <c r="E19" s="7" t="s">
        <v>86</v>
      </c>
      <c r="F19" s="63" t="s">
        <v>86</v>
      </c>
    </row>
    <row r="20" spans="1:6" x14ac:dyDescent="0.25">
      <c r="A20" s="62" t="str">
        <f t="shared" ca="1" si="0"/>
        <v>Divya</v>
      </c>
      <c r="B20" s="7" t="s">
        <v>86</v>
      </c>
      <c r="C20" s="7" t="s">
        <v>15</v>
      </c>
      <c r="D20" s="7" t="s">
        <v>15</v>
      </c>
      <c r="E20" s="7" t="s">
        <v>86</v>
      </c>
      <c r="F20" s="63" t="s">
        <v>15</v>
      </c>
    </row>
    <row r="21" spans="1:6" x14ac:dyDescent="0.25">
      <c r="A21" s="62" t="str">
        <f t="shared" ca="1" si="0"/>
        <v>Divya</v>
      </c>
      <c r="B21" s="7" t="s">
        <v>86</v>
      </c>
      <c r="C21" s="7" t="s">
        <v>15</v>
      </c>
      <c r="D21" s="7" t="s">
        <v>86</v>
      </c>
      <c r="E21" s="7" t="s">
        <v>86</v>
      </c>
      <c r="F21" s="63" t="s">
        <v>86</v>
      </c>
    </row>
    <row r="22" spans="1:6" x14ac:dyDescent="0.25">
      <c r="A22" s="62" t="str">
        <f t="shared" ca="1" si="0"/>
        <v>Divya</v>
      </c>
      <c r="B22" s="7" t="s">
        <v>86</v>
      </c>
      <c r="C22" s="7" t="s">
        <v>86</v>
      </c>
      <c r="D22" s="7" t="s">
        <v>86</v>
      </c>
      <c r="E22" s="7" t="s">
        <v>15</v>
      </c>
      <c r="F22" s="63" t="s">
        <v>86</v>
      </c>
    </row>
    <row r="23" spans="1:6" x14ac:dyDescent="0.25">
      <c r="A23" s="62" t="str">
        <f t="shared" ca="1" si="0"/>
        <v>Aakash</v>
      </c>
      <c r="B23" s="7" t="s">
        <v>15</v>
      </c>
      <c r="C23" s="7" t="s">
        <v>86</v>
      </c>
      <c r="D23" s="7" t="s">
        <v>86</v>
      </c>
      <c r="E23" s="7" t="s">
        <v>86</v>
      </c>
      <c r="F23" s="63" t="s">
        <v>86</v>
      </c>
    </row>
    <row r="24" spans="1:6" x14ac:dyDescent="0.25">
      <c r="A24" s="62" t="str">
        <f t="shared" ca="1" si="0"/>
        <v>Divya</v>
      </c>
      <c r="B24" s="7" t="s">
        <v>86</v>
      </c>
      <c r="C24" s="7" t="s">
        <v>15</v>
      </c>
      <c r="D24" s="7" t="s">
        <v>15</v>
      </c>
      <c r="E24" s="7" t="s">
        <v>86</v>
      </c>
      <c r="F24" s="63" t="s">
        <v>15</v>
      </c>
    </row>
    <row r="25" spans="1:6" x14ac:dyDescent="0.25">
      <c r="A25" s="67" t="str">
        <f t="shared" ca="1" si="0"/>
        <v>Bhavya</v>
      </c>
      <c r="B25" s="40" t="s">
        <v>86</v>
      </c>
      <c r="C25" s="40" t="s">
        <v>15</v>
      </c>
      <c r="D25" s="40" t="s">
        <v>86</v>
      </c>
      <c r="E25" s="40" t="s">
        <v>86</v>
      </c>
      <c r="F25" s="68" t="s">
        <v>86</v>
      </c>
    </row>
    <row r="27" spans="1:6" x14ac:dyDescent="0.25">
      <c r="C27" s="16" t="s">
        <v>155</v>
      </c>
      <c r="D27" s="16">
        <f>COUNTIF(Sheet6!B5:F25,Sheet6!B5)</f>
        <v>74</v>
      </c>
    </row>
    <row r="28" spans="1:6" x14ac:dyDescent="0.25">
      <c r="C28" s="16" t="s">
        <v>154</v>
      </c>
      <c r="D28" s="16">
        <f>COUNTIF(B5:F25,B7)</f>
        <v>31</v>
      </c>
    </row>
  </sheetData>
  <mergeCells count="2">
    <mergeCell ref="G1:N2"/>
    <mergeCell ref="I9:M1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AB3A-8474-4E42-9EF5-FAFA05F875E8}">
  <dimension ref="A1:N27"/>
  <sheetViews>
    <sheetView zoomScale="154" zoomScaleNormal="154" workbookViewId="0">
      <selection activeCell="A4" sqref="A4:B24"/>
    </sheetView>
  </sheetViews>
  <sheetFormatPr defaultRowHeight="15" x14ac:dyDescent="0.25"/>
  <cols>
    <col min="1" max="1" width="9.42578125" customWidth="1"/>
    <col min="2" max="2" width="13.85546875" customWidth="1"/>
  </cols>
  <sheetData>
    <row r="1" spans="1:14" x14ac:dyDescent="0.25">
      <c r="G1" s="10" t="s">
        <v>87</v>
      </c>
      <c r="H1" s="11"/>
      <c r="I1" s="11"/>
      <c r="J1" s="11"/>
      <c r="K1" s="11"/>
      <c r="L1" s="11"/>
      <c r="M1" s="11"/>
      <c r="N1" s="11"/>
    </row>
    <row r="2" spans="1:14" x14ac:dyDescent="0.25">
      <c r="G2" s="11"/>
      <c r="H2" s="11"/>
      <c r="I2" s="11"/>
      <c r="J2" s="11"/>
      <c r="K2" s="11"/>
      <c r="L2" s="11"/>
      <c r="M2" s="11"/>
      <c r="N2" s="11"/>
    </row>
    <row r="4" spans="1:14" x14ac:dyDescent="0.25">
      <c r="A4" s="56" t="s">
        <v>88</v>
      </c>
      <c r="B4" s="58" t="s">
        <v>39</v>
      </c>
    </row>
    <row r="5" spans="1:14" x14ac:dyDescent="0.25">
      <c r="A5" s="12" t="s">
        <v>89</v>
      </c>
      <c r="B5" s="55">
        <v>4500</v>
      </c>
    </row>
    <row r="6" spans="1:14" x14ac:dyDescent="0.25">
      <c r="A6" s="12" t="s">
        <v>90</v>
      </c>
      <c r="B6" s="55">
        <v>12000</v>
      </c>
    </row>
    <row r="7" spans="1:14" x14ac:dyDescent="0.25">
      <c r="A7" s="12" t="s">
        <v>91</v>
      </c>
      <c r="B7" s="55">
        <v>8000</v>
      </c>
    </row>
    <row r="8" spans="1:14" x14ac:dyDescent="0.25">
      <c r="A8" s="12" t="s">
        <v>92</v>
      </c>
      <c r="B8" s="55">
        <v>25000</v>
      </c>
      <c r="G8" s="20" t="s">
        <v>163</v>
      </c>
      <c r="H8" s="21"/>
      <c r="I8" s="21"/>
      <c r="J8" s="21"/>
      <c r="K8" s="21"/>
    </row>
    <row r="9" spans="1:14" x14ac:dyDescent="0.25">
      <c r="A9" s="12" t="s">
        <v>93</v>
      </c>
      <c r="B9" s="55">
        <v>3000</v>
      </c>
      <c r="G9" s="21"/>
      <c r="H9" s="21"/>
      <c r="I9" s="21"/>
      <c r="J9" s="21"/>
      <c r="K9" s="21"/>
    </row>
    <row r="10" spans="1:14" x14ac:dyDescent="0.25">
      <c r="A10" s="12" t="s">
        <v>94</v>
      </c>
      <c r="B10" s="55">
        <v>15000</v>
      </c>
      <c r="G10" s="21"/>
      <c r="H10" s="21"/>
      <c r="I10" s="21"/>
      <c r="J10" s="21"/>
      <c r="K10" s="21"/>
    </row>
    <row r="11" spans="1:14" x14ac:dyDescent="0.25">
      <c r="A11" s="12" t="s">
        <v>134</v>
      </c>
      <c r="B11" s="55">
        <f ca="1">CHOOSE(RANDBETWEEN(1,6),$B$5,$B$6,$B$7,$B$8,$B$9,$B$10)</f>
        <v>4500</v>
      </c>
      <c r="G11" s="21"/>
      <c r="H11" s="21"/>
      <c r="I11" s="21"/>
      <c r="J11" s="21"/>
      <c r="K11" s="21"/>
    </row>
    <row r="12" spans="1:14" x14ac:dyDescent="0.25">
      <c r="A12" s="12" t="s">
        <v>135</v>
      </c>
      <c r="B12" s="55">
        <f t="shared" ref="B12:B24" ca="1" si="0">CHOOSE(RANDBETWEEN(1,6),$B$5,$B$6,$B$7,$B$8,$B$9,$B$10)</f>
        <v>4500</v>
      </c>
    </row>
    <row r="13" spans="1:14" x14ac:dyDescent="0.25">
      <c r="A13" s="12" t="s">
        <v>136</v>
      </c>
      <c r="B13" s="55">
        <f t="shared" ca="1" si="0"/>
        <v>12000</v>
      </c>
    </row>
    <row r="14" spans="1:14" x14ac:dyDescent="0.25">
      <c r="A14" s="12" t="s">
        <v>137</v>
      </c>
      <c r="B14" s="55">
        <f t="shared" ca="1" si="0"/>
        <v>15000</v>
      </c>
    </row>
    <row r="15" spans="1:14" x14ac:dyDescent="0.25">
      <c r="A15" s="12" t="s">
        <v>138</v>
      </c>
      <c r="B15" s="55">
        <f t="shared" ca="1" si="0"/>
        <v>25000</v>
      </c>
    </row>
    <row r="16" spans="1:14" x14ac:dyDescent="0.25">
      <c r="A16" s="12" t="s">
        <v>139</v>
      </c>
      <c r="B16" s="55">
        <f t="shared" ca="1" si="0"/>
        <v>3000</v>
      </c>
    </row>
    <row r="17" spans="1:3" x14ac:dyDescent="0.25">
      <c r="A17" s="12" t="s">
        <v>140</v>
      </c>
      <c r="B17" s="55">
        <f t="shared" ca="1" si="0"/>
        <v>12000</v>
      </c>
    </row>
    <row r="18" spans="1:3" x14ac:dyDescent="0.25">
      <c r="A18" s="12" t="s">
        <v>141</v>
      </c>
      <c r="B18" s="55">
        <f t="shared" ca="1" si="0"/>
        <v>12000</v>
      </c>
    </row>
    <row r="19" spans="1:3" x14ac:dyDescent="0.25">
      <c r="A19" s="12" t="s">
        <v>142</v>
      </c>
      <c r="B19" s="55">
        <f t="shared" ca="1" si="0"/>
        <v>12000</v>
      </c>
    </row>
    <row r="20" spans="1:3" x14ac:dyDescent="0.25">
      <c r="A20" s="12" t="s">
        <v>143</v>
      </c>
      <c r="B20" s="55">
        <f t="shared" ca="1" si="0"/>
        <v>25000</v>
      </c>
    </row>
    <row r="21" spans="1:3" x14ac:dyDescent="0.25">
      <c r="A21" s="12" t="s">
        <v>144</v>
      </c>
      <c r="B21" s="55">
        <f t="shared" ca="1" si="0"/>
        <v>3000</v>
      </c>
    </row>
    <row r="22" spans="1:3" x14ac:dyDescent="0.25">
      <c r="A22" s="12" t="s">
        <v>145</v>
      </c>
      <c r="B22" s="55">
        <f t="shared" ca="1" si="0"/>
        <v>8000</v>
      </c>
    </row>
    <row r="23" spans="1:3" x14ac:dyDescent="0.25">
      <c r="A23" s="12" t="s">
        <v>146</v>
      </c>
      <c r="B23" s="55">
        <f t="shared" ca="1" si="0"/>
        <v>4500</v>
      </c>
    </row>
    <row r="24" spans="1:3" x14ac:dyDescent="0.25">
      <c r="A24" s="38" t="s">
        <v>147</v>
      </c>
      <c r="B24" s="60">
        <f t="shared" ca="1" si="0"/>
        <v>12000</v>
      </c>
    </row>
    <row r="26" spans="1:3" x14ac:dyDescent="0.25">
      <c r="B26" s="17" t="s">
        <v>157</v>
      </c>
      <c r="C26" s="17">
        <f ca="1">COUNTIF(B5:B24,"&gt;10000")</f>
        <v>11</v>
      </c>
    </row>
    <row r="27" spans="1:3" x14ac:dyDescent="0.25">
      <c r="B27" s="17" t="s">
        <v>158</v>
      </c>
      <c r="C27" s="17">
        <f ca="1">COUNTIF(B5:B24,"&lt;5000")</f>
        <v>7</v>
      </c>
    </row>
  </sheetData>
  <mergeCells count="2">
    <mergeCell ref="G1:N2"/>
    <mergeCell ref="G8:K11"/>
  </mergeCells>
  <phoneticPr fontId="4" type="noConversion"/>
  <conditionalFormatting sqref="C26">
    <cfRule type="cellIs" dxfId="93" priority="2" operator="greaterThan">
      <formula>10000</formula>
    </cfRule>
    <cfRule type="cellIs" dxfId="92" priority="1" operator="greaterThan">
      <formula>10000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8D7E-15D3-477D-B778-FA03AB969F2C}">
  <dimension ref="A1:N24"/>
  <sheetViews>
    <sheetView zoomScale="154" zoomScaleNormal="154" workbookViewId="0">
      <selection activeCell="A4" sqref="A4:B24"/>
    </sheetView>
  </sheetViews>
  <sheetFormatPr defaultRowHeight="15" x14ac:dyDescent="0.25"/>
  <cols>
    <col min="1" max="1" width="12.140625" customWidth="1"/>
    <col min="2" max="2" width="13.85546875" customWidth="1"/>
  </cols>
  <sheetData>
    <row r="1" spans="1:14" x14ac:dyDescent="0.25">
      <c r="G1" s="10" t="s">
        <v>95</v>
      </c>
      <c r="H1" s="11"/>
      <c r="I1" s="11"/>
      <c r="J1" s="11"/>
      <c r="K1" s="11"/>
      <c r="L1" s="11"/>
      <c r="M1" s="11"/>
      <c r="N1" s="11"/>
    </row>
    <row r="2" spans="1:14" x14ac:dyDescent="0.25">
      <c r="G2" s="11"/>
      <c r="H2" s="11"/>
      <c r="I2" s="11"/>
      <c r="J2" s="11"/>
      <c r="K2" s="11"/>
      <c r="L2" s="11"/>
      <c r="M2" s="11"/>
      <c r="N2" s="11"/>
    </row>
    <row r="4" spans="1:14" x14ac:dyDescent="0.25">
      <c r="A4" s="56" t="s">
        <v>96</v>
      </c>
      <c r="B4" s="58" t="s">
        <v>39</v>
      </c>
    </row>
    <row r="5" spans="1:14" x14ac:dyDescent="0.25">
      <c r="A5" s="12" t="s">
        <v>97</v>
      </c>
      <c r="B5" s="55">
        <v>22000</v>
      </c>
    </row>
    <row r="6" spans="1:14" x14ac:dyDescent="0.25">
      <c r="A6" s="12" t="s">
        <v>98</v>
      </c>
      <c r="B6" s="55">
        <v>3500</v>
      </c>
    </row>
    <row r="7" spans="1:14" x14ac:dyDescent="0.25">
      <c r="A7" s="12" t="s">
        <v>99</v>
      </c>
      <c r="B7" s="55">
        <v>58000</v>
      </c>
      <c r="G7" s="20" t="s">
        <v>164</v>
      </c>
      <c r="H7" s="21"/>
      <c r="I7" s="21"/>
      <c r="J7" s="21"/>
      <c r="K7" s="21"/>
    </row>
    <row r="8" spans="1:14" x14ac:dyDescent="0.25">
      <c r="A8" s="12" t="s">
        <v>100</v>
      </c>
      <c r="B8" s="55">
        <v>1800</v>
      </c>
      <c r="G8" s="21"/>
      <c r="H8" s="21"/>
      <c r="I8" s="21"/>
      <c r="J8" s="21"/>
      <c r="K8" s="21"/>
    </row>
    <row r="9" spans="1:14" x14ac:dyDescent="0.25">
      <c r="A9" s="12" t="s">
        <v>101</v>
      </c>
      <c r="B9" s="55">
        <v>12000</v>
      </c>
      <c r="G9" s="21"/>
      <c r="H9" s="21"/>
      <c r="I9" s="21"/>
      <c r="J9" s="21"/>
      <c r="K9" s="21"/>
    </row>
    <row r="10" spans="1:14" x14ac:dyDescent="0.25">
      <c r="A10" s="12" t="s">
        <v>97</v>
      </c>
      <c r="B10" s="55">
        <f ca="1">CHOOSE(RANDBETWEEN(1,5),$B$5,$B$6,$B$7,$B$8,$B$9)</f>
        <v>12000</v>
      </c>
      <c r="G10" s="21"/>
      <c r="H10" s="21"/>
      <c r="I10" s="21"/>
      <c r="J10" s="21"/>
      <c r="K10" s="21"/>
    </row>
    <row r="11" spans="1:14" x14ac:dyDescent="0.25">
      <c r="A11" s="12" t="s">
        <v>98</v>
      </c>
      <c r="B11" s="55">
        <f t="shared" ref="B11:B24" ca="1" si="0">CHOOSE(RANDBETWEEN(1,5),$B$5,$B$6,$B$7,$B$8,$B$9)</f>
        <v>58000</v>
      </c>
      <c r="G11" s="21"/>
      <c r="H11" s="21"/>
      <c r="I11" s="21"/>
      <c r="J11" s="21"/>
      <c r="K11" s="21"/>
    </row>
    <row r="12" spans="1:14" x14ac:dyDescent="0.25">
      <c r="A12" s="12" t="s">
        <v>99</v>
      </c>
      <c r="B12" s="55">
        <f t="shared" ca="1" si="0"/>
        <v>12000</v>
      </c>
    </row>
    <row r="13" spans="1:14" x14ac:dyDescent="0.25">
      <c r="A13" s="12" t="s">
        <v>100</v>
      </c>
      <c r="B13" s="55">
        <f t="shared" ca="1" si="0"/>
        <v>3500</v>
      </c>
    </row>
    <row r="14" spans="1:14" x14ac:dyDescent="0.25">
      <c r="A14" s="12" t="s">
        <v>101</v>
      </c>
      <c r="B14" s="55">
        <f t="shared" ca="1" si="0"/>
        <v>22000</v>
      </c>
    </row>
    <row r="15" spans="1:14" x14ac:dyDescent="0.25">
      <c r="A15" s="12" t="s">
        <v>97</v>
      </c>
      <c r="B15" s="55">
        <f t="shared" ca="1" si="0"/>
        <v>1800</v>
      </c>
    </row>
    <row r="16" spans="1:14" x14ac:dyDescent="0.25">
      <c r="A16" s="12" t="s">
        <v>98</v>
      </c>
      <c r="B16" s="55">
        <f t="shared" ca="1" si="0"/>
        <v>22000</v>
      </c>
    </row>
    <row r="17" spans="1:2" x14ac:dyDescent="0.25">
      <c r="A17" s="12" t="s">
        <v>99</v>
      </c>
      <c r="B17" s="55">
        <f t="shared" ca="1" si="0"/>
        <v>22000</v>
      </c>
    </row>
    <row r="18" spans="1:2" x14ac:dyDescent="0.25">
      <c r="A18" s="12" t="s">
        <v>100</v>
      </c>
      <c r="B18" s="55">
        <f t="shared" ca="1" si="0"/>
        <v>1800</v>
      </c>
    </row>
    <row r="19" spans="1:2" x14ac:dyDescent="0.25">
      <c r="A19" s="12" t="s">
        <v>101</v>
      </c>
      <c r="B19" s="55">
        <f t="shared" ca="1" si="0"/>
        <v>12000</v>
      </c>
    </row>
    <row r="20" spans="1:2" x14ac:dyDescent="0.25">
      <c r="A20" s="12" t="s">
        <v>97</v>
      </c>
      <c r="B20" s="55">
        <f t="shared" ca="1" si="0"/>
        <v>22000</v>
      </c>
    </row>
    <row r="21" spans="1:2" x14ac:dyDescent="0.25">
      <c r="A21" s="12" t="s">
        <v>98</v>
      </c>
      <c r="B21" s="55">
        <f t="shared" ca="1" si="0"/>
        <v>1800</v>
      </c>
    </row>
    <row r="22" spans="1:2" x14ac:dyDescent="0.25">
      <c r="A22" s="12" t="s">
        <v>99</v>
      </c>
      <c r="B22" s="55">
        <f t="shared" ca="1" si="0"/>
        <v>12000</v>
      </c>
    </row>
    <row r="23" spans="1:2" x14ac:dyDescent="0.25">
      <c r="A23" s="12" t="s">
        <v>100</v>
      </c>
      <c r="B23" s="55">
        <f t="shared" ca="1" si="0"/>
        <v>22000</v>
      </c>
    </row>
    <row r="24" spans="1:2" x14ac:dyDescent="0.25">
      <c r="A24" s="38" t="s">
        <v>101</v>
      </c>
      <c r="B24" s="60">
        <f t="shared" ca="1" si="0"/>
        <v>3500</v>
      </c>
    </row>
  </sheetData>
  <mergeCells count="2">
    <mergeCell ref="G1:N2"/>
    <mergeCell ref="G7:K11"/>
  </mergeCells>
  <conditionalFormatting sqref="B5:B24">
    <cfRule type="cellIs" dxfId="89" priority="2" operator="greaterThan">
      <formula>20000</formula>
    </cfRule>
    <cfRule type="cellIs" dxfId="90" priority="1" operator="less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B1E4-FAF8-4ED0-B5EE-86071CB605B6}">
  <dimension ref="B1:N24"/>
  <sheetViews>
    <sheetView topLeftCell="B1" zoomScale="148" workbookViewId="0">
      <selection activeCell="B4" sqref="B4:D24"/>
    </sheetView>
  </sheetViews>
  <sheetFormatPr defaultRowHeight="15" x14ac:dyDescent="0.25"/>
  <sheetData>
    <row r="1" spans="2:14" x14ac:dyDescent="0.25">
      <c r="G1" s="10" t="s">
        <v>102</v>
      </c>
      <c r="H1" s="11"/>
      <c r="I1" s="11"/>
      <c r="J1" s="11"/>
      <c r="K1" s="11"/>
      <c r="L1" s="11"/>
      <c r="M1" s="11"/>
      <c r="N1" s="11"/>
    </row>
    <row r="2" spans="2:14" x14ac:dyDescent="0.25">
      <c r="G2" s="11"/>
      <c r="H2" s="11"/>
      <c r="I2" s="11"/>
      <c r="J2" s="11"/>
      <c r="K2" s="11"/>
      <c r="L2" s="11"/>
      <c r="M2" s="11"/>
      <c r="N2" s="11"/>
    </row>
    <row r="4" spans="2:14" x14ac:dyDescent="0.25">
      <c r="B4" s="56" t="s">
        <v>53</v>
      </c>
      <c r="C4" s="61" t="s">
        <v>1</v>
      </c>
      <c r="D4" s="58" t="s">
        <v>103</v>
      </c>
    </row>
    <row r="5" spans="2:14" x14ac:dyDescent="0.25">
      <c r="B5" s="12">
        <v>1</v>
      </c>
      <c r="C5" s="4" t="s">
        <v>77</v>
      </c>
      <c r="D5" s="55">
        <v>85</v>
      </c>
    </row>
    <row r="6" spans="2:14" x14ac:dyDescent="0.25">
      <c r="B6" s="12">
        <v>2</v>
      </c>
      <c r="C6" s="4" t="s">
        <v>104</v>
      </c>
      <c r="D6" s="55">
        <v>72</v>
      </c>
    </row>
    <row r="7" spans="2:14" x14ac:dyDescent="0.25">
      <c r="B7" s="12">
        <v>3</v>
      </c>
      <c r="C7" s="4" t="s">
        <v>105</v>
      </c>
      <c r="D7" s="55">
        <v>39</v>
      </c>
    </row>
    <row r="8" spans="2:14" x14ac:dyDescent="0.25">
      <c r="B8" s="12">
        <v>4</v>
      </c>
      <c r="C8" s="4" t="s">
        <v>106</v>
      </c>
      <c r="D8" s="55">
        <v>91</v>
      </c>
    </row>
    <row r="9" spans="2:14" x14ac:dyDescent="0.25">
      <c r="B9" s="12">
        <v>5</v>
      </c>
      <c r="C9" s="4" t="s">
        <v>107</v>
      </c>
      <c r="D9" s="55">
        <v>28</v>
      </c>
      <c r="I9" s="20" t="s">
        <v>165</v>
      </c>
      <c r="J9" s="21"/>
      <c r="K9" s="21"/>
      <c r="L9" s="21"/>
      <c r="M9" s="21"/>
      <c r="N9" s="21"/>
    </row>
    <row r="10" spans="2:14" x14ac:dyDescent="0.25">
      <c r="B10" s="12">
        <v>6</v>
      </c>
      <c r="C10" s="4" t="s">
        <v>77</v>
      </c>
      <c r="D10" s="55">
        <f ca="1">CHOOSE(RANDBETWEEN(1,5),$D$5,$D$6,$D$7,$D$8,$D$9)</f>
        <v>85</v>
      </c>
      <c r="I10" s="21"/>
      <c r="J10" s="21"/>
      <c r="K10" s="21"/>
      <c r="L10" s="21"/>
      <c r="M10" s="21"/>
      <c r="N10" s="21"/>
    </row>
    <row r="11" spans="2:14" x14ac:dyDescent="0.25">
      <c r="B11" s="12">
        <v>7</v>
      </c>
      <c r="C11" s="4" t="s">
        <v>104</v>
      </c>
      <c r="D11" s="55">
        <f t="shared" ref="D11:D24" ca="1" si="0">CHOOSE(RANDBETWEEN(1,5),$D$5,$D$6,$D$7,$D$8,$D$9)</f>
        <v>28</v>
      </c>
      <c r="I11" s="21"/>
      <c r="J11" s="21"/>
      <c r="K11" s="21"/>
      <c r="L11" s="21"/>
      <c r="M11" s="21"/>
      <c r="N11" s="21"/>
    </row>
    <row r="12" spans="2:14" x14ac:dyDescent="0.25">
      <c r="B12" s="12">
        <v>8</v>
      </c>
      <c r="C12" s="4" t="s">
        <v>105</v>
      </c>
      <c r="D12" s="55">
        <f t="shared" ca="1" si="0"/>
        <v>72</v>
      </c>
      <c r="I12" s="21"/>
      <c r="J12" s="21"/>
      <c r="K12" s="21"/>
      <c r="L12" s="21"/>
      <c r="M12" s="21"/>
      <c r="N12" s="21"/>
    </row>
    <row r="13" spans="2:14" x14ac:dyDescent="0.25">
      <c r="B13" s="12">
        <v>9</v>
      </c>
      <c r="C13" s="4" t="s">
        <v>106</v>
      </c>
      <c r="D13" s="55">
        <f t="shared" ca="1" si="0"/>
        <v>28</v>
      </c>
      <c r="I13" s="21"/>
      <c r="J13" s="21"/>
      <c r="K13" s="21"/>
      <c r="L13" s="21"/>
      <c r="M13" s="21"/>
      <c r="N13" s="21"/>
    </row>
    <row r="14" spans="2:14" x14ac:dyDescent="0.25">
      <c r="B14" s="12">
        <v>10</v>
      </c>
      <c r="C14" s="4" t="s">
        <v>107</v>
      </c>
      <c r="D14" s="55">
        <f t="shared" ca="1" si="0"/>
        <v>28</v>
      </c>
    </row>
    <row r="15" spans="2:14" x14ac:dyDescent="0.25">
      <c r="B15" s="12">
        <v>11</v>
      </c>
      <c r="C15" s="4" t="s">
        <v>77</v>
      </c>
      <c r="D15" s="55">
        <f t="shared" ca="1" si="0"/>
        <v>85</v>
      </c>
    </row>
    <row r="16" spans="2:14" x14ac:dyDescent="0.25">
      <c r="B16" s="12">
        <v>12</v>
      </c>
      <c r="C16" s="4" t="s">
        <v>104</v>
      </c>
      <c r="D16" s="55">
        <f t="shared" ca="1" si="0"/>
        <v>72</v>
      </c>
    </row>
    <row r="17" spans="2:4" x14ac:dyDescent="0.25">
      <c r="B17" s="12">
        <v>13</v>
      </c>
      <c r="C17" s="4" t="s">
        <v>105</v>
      </c>
      <c r="D17" s="55">
        <f t="shared" ca="1" si="0"/>
        <v>72</v>
      </c>
    </row>
    <row r="18" spans="2:4" x14ac:dyDescent="0.25">
      <c r="B18" s="12">
        <v>14</v>
      </c>
      <c r="C18" s="4" t="s">
        <v>106</v>
      </c>
      <c r="D18" s="55">
        <f t="shared" ca="1" si="0"/>
        <v>72</v>
      </c>
    </row>
    <row r="19" spans="2:4" x14ac:dyDescent="0.25">
      <c r="B19" s="12">
        <v>15</v>
      </c>
      <c r="C19" s="4" t="s">
        <v>107</v>
      </c>
      <c r="D19" s="55">
        <f t="shared" ca="1" si="0"/>
        <v>91</v>
      </c>
    </row>
    <row r="20" spans="2:4" x14ac:dyDescent="0.25">
      <c r="B20" s="12">
        <v>16</v>
      </c>
      <c r="C20" s="4" t="s">
        <v>77</v>
      </c>
      <c r="D20" s="55">
        <f t="shared" ca="1" si="0"/>
        <v>39</v>
      </c>
    </row>
    <row r="21" spans="2:4" x14ac:dyDescent="0.25">
      <c r="B21" s="12">
        <v>17</v>
      </c>
      <c r="C21" s="4" t="s">
        <v>104</v>
      </c>
      <c r="D21" s="55">
        <f t="shared" ca="1" si="0"/>
        <v>91</v>
      </c>
    </row>
    <row r="22" spans="2:4" x14ac:dyDescent="0.25">
      <c r="B22" s="12">
        <v>18</v>
      </c>
      <c r="C22" s="4" t="s">
        <v>105</v>
      </c>
      <c r="D22" s="55">
        <f t="shared" ca="1" si="0"/>
        <v>85</v>
      </c>
    </row>
    <row r="23" spans="2:4" x14ac:dyDescent="0.25">
      <c r="B23" s="12">
        <v>19</v>
      </c>
      <c r="C23" s="4" t="s">
        <v>106</v>
      </c>
      <c r="D23" s="55">
        <f t="shared" ca="1" si="0"/>
        <v>28</v>
      </c>
    </row>
    <row r="24" spans="2:4" x14ac:dyDescent="0.25">
      <c r="B24" s="38">
        <v>20</v>
      </c>
      <c r="C24" s="39" t="s">
        <v>107</v>
      </c>
      <c r="D24" s="60">
        <f t="shared" ca="1" si="0"/>
        <v>39</v>
      </c>
    </row>
  </sheetData>
  <mergeCells count="2">
    <mergeCell ref="G1:N2"/>
    <mergeCell ref="I9:N13"/>
  </mergeCells>
  <conditionalFormatting sqref="D5:D24">
    <cfRule type="cellIs" dxfId="86" priority="2" operator="greaterThan">
      <formula>75</formula>
    </cfRule>
    <cfRule type="cellIs" dxfId="87" priority="1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0BBC-49DD-4012-BAE7-EE32485501FC}">
  <dimension ref="A1:N24"/>
  <sheetViews>
    <sheetView zoomScale="164" workbookViewId="0">
      <selection activeCell="A4" sqref="A4:B24"/>
    </sheetView>
  </sheetViews>
  <sheetFormatPr defaultRowHeight="15" x14ac:dyDescent="0.25"/>
  <cols>
    <col min="1" max="1" width="16" customWidth="1"/>
  </cols>
  <sheetData>
    <row r="1" spans="1:14" x14ac:dyDescent="0.25">
      <c r="G1" s="10" t="s">
        <v>108</v>
      </c>
      <c r="H1" s="11"/>
      <c r="I1" s="11"/>
      <c r="J1" s="11"/>
      <c r="K1" s="11"/>
      <c r="L1" s="11"/>
      <c r="M1" s="11"/>
      <c r="N1" s="11"/>
    </row>
    <row r="2" spans="1:14" x14ac:dyDescent="0.25">
      <c r="G2" s="11"/>
      <c r="H2" s="11"/>
      <c r="I2" s="11"/>
      <c r="J2" s="11"/>
      <c r="K2" s="11"/>
      <c r="L2" s="11"/>
      <c r="M2" s="11"/>
      <c r="N2" s="11"/>
    </row>
    <row r="4" spans="1:14" x14ac:dyDescent="0.25">
      <c r="A4" s="56" t="s">
        <v>72</v>
      </c>
      <c r="B4" s="58" t="s">
        <v>3</v>
      </c>
    </row>
    <row r="5" spans="1:14" x14ac:dyDescent="0.25">
      <c r="A5" s="12" t="s">
        <v>109</v>
      </c>
      <c r="B5" s="55">
        <v>28000</v>
      </c>
    </row>
    <row r="6" spans="1:14" x14ac:dyDescent="0.25">
      <c r="A6" s="12" t="s">
        <v>110</v>
      </c>
      <c r="B6" s="55">
        <v>34000</v>
      </c>
    </row>
    <row r="7" spans="1:14" x14ac:dyDescent="0.25">
      <c r="A7" s="12" t="s">
        <v>111</v>
      </c>
      <c r="B7" s="55">
        <v>51000</v>
      </c>
    </row>
    <row r="8" spans="1:14" x14ac:dyDescent="0.25">
      <c r="A8" s="12" t="s">
        <v>112</v>
      </c>
      <c r="B8" s="55">
        <v>47000</v>
      </c>
      <c r="G8" s="20" t="s">
        <v>166</v>
      </c>
      <c r="H8" s="21"/>
      <c r="I8" s="21"/>
      <c r="J8" s="21"/>
      <c r="K8" s="21"/>
    </row>
    <row r="9" spans="1:14" x14ac:dyDescent="0.25">
      <c r="A9" s="12" t="s">
        <v>113</v>
      </c>
      <c r="B9" s="55">
        <v>29000</v>
      </c>
      <c r="G9" s="21"/>
      <c r="H9" s="21"/>
      <c r="I9" s="21"/>
      <c r="J9" s="21"/>
      <c r="K9" s="21"/>
    </row>
    <row r="10" spans="1:14" x14ac:dyDescent="0.25">
      <c r="A10" s="12" t="s">
        <v>109</v>
      </c>
      <c r="B10" s="55">
        <f ca="1">CHOOSE(RANDBETWEEN(1,5),$B$5,$B$6,$B$7,$B$8,$B$9)</f>
        <v>28000</v>
      </c>
      <c r="G10" s="21"/>
      <c r="H10" s="21"/>
      <c r="I10" s="21"/>
      <c r="J10" s="21"/>
      <c r="K10" s="21"/>
    </row>
    <row r="11" spans="1:14" x14ac:dyDescent="0.25">
      <c r="A11" s="12" t="s">
        <v>110</v>
      </c>
      <c r="B11" s="55">
        <f t="shared" ref="B11:B24" ca="1" si="0">CHOOSE(RANDBETWEEN(1,5),$B$5,$B$6,$B$7,$B$8,$B$9)</f>
        <v>34000</v>
      </c>
      <c r="G11" s="21"/>
      <c r="H11" s="21"/>
      <c r="I11" s="21"/>
      <c r="J11" s="21"/>
      <c r="K11" s="21"/>
    </row>
    <row r="12" spans="1:14" x14ac:dyDescent="0.25">
      <c r="A12" s="12" t="s">
        <v>111</v>
      </c>
      <c r="B12" s="55">
        <f t="shared" ca="1" si="0"/>
        <v>47000</v>
      </c>
      <c r="G12" s="21"/>
      <c r="H12" s="21"/>
      <c r="I12" s="21"/>
      <c r="J12" s="21"/>
      <c r="K12" s="21"/>
    </row>
    <row r="13" spans="1:14" x14ac:dyDescent="0.25">
      <c r="A13" s="12" t="s">
        <v>112</v>
      </c>
      <c r="B13" s="55">
        <f t="shared" ca="1" si="0"/>
        <v>29000</v>
      </c>
      <c r="G13" s="21"/>
      <c r="H13" s="21"/>
      <c r="I13" s="21"/>
      <c r="J13" s="21"/>
      <c r="K13" s="21"/>
    </row>
    <row r="14" spans="1:14" x14ac:dyDescent="0.25">
      <c r="A14" s="12" t="s">
        <v>113</v>
      </c>
      <c r="B14" s="55">
        <f t="shared" ca="1" si="0"/>
        <v>28000</v>
      </c>
    </row>
    <row r="15" spans="1:14" x14ac:dyDescent="0.25">
      <c r="A15" s="12" t="s">
        <v>109</v>
      </c>
      <c r="B15" s="55">
        <f t="shared" ca="1" si="0"/>
        <v>34000</v>
      </c>
    </row>
    <row r="16" spans="1:14" x14ac:dyDescent="0.25">
      <c r="A16" s="12" t="s">
        <v>110</v>
      </c>
      <c r="B16" s="55">
        <f t="shared" ca="1" si="0"/>
        <v>28000</v>
      </c>
    </row>
    <row r="17" spans="1:2" x14ac:dyDescent="0.25">
      <c r="A17" s="12" t="s">
        <v>111</v>
      </c>
      <c r="B17" s="55">
        <f t="shared" ca="1" si="0"/>
        <v>29000</v>
      </c>
    </row>
    <row r="18" spans="1:2" x14ac:dyDescent="0.25">
      <c r="A18" s="12" t="s">
        <v>112</v>
      </c>
      <c r="B18" s="55">
        <f t="shared" ca="1" si="0"/>
        <v>51000</v>
      </c>
    </row>
    <row r="19" spans="1:2" x14ac:dyDescent="0.25">
      <c r="A19" s="12" t="s">
        <v>113</v>
      </c>
      <c r="B19" s="55">
        <f t="shared" ca="1" si="0"/>
        <v>34000</v>
      </c>
    </row>
    <row r="20" spans="1:2" x14ac:dyDescent="0.25">
      <c r="A20" s="12" t="s">
        <v>109</v>
      </c>
      <c r="B20" s="55">
        <f t="shared" ca="1" si="0"/>
        <v>47000</v>
      </c>
    </row>
    <row r="21" spans="1:2" x14ac:dyDescent="0.25">
      <c r="A21" s="12" t="s">
        <v>110</v>
      </c>
      <c r="B21" s="55">
        <f t="shared" ca="1" si="0"/>
        <v>28000</v>
      </c>
    </row>
    <row r="22" spans="1:2" x14ac:dyDescent="0.25">
      <c r="A22" s="12" t="s">
        <v>111</v>
      </c>
      <c r="B22" s="55">
        <f t="shared" ca="1" si="0"/>
        <v>28000</v>
      </c>
    </row>
    <row r="23" spans="1:2" x14ac:dyDescent="0.25">
      <c r="A23" s="12" t="s">
        <v>112</v>
      </c>
      <c r="B23" s="55">
        <f t="shared" ca="1" si="0"/>
        <v>47000</v>
      </c>
    </row>
    <row r="24" spans="1:2" x14ac:dyDescent="0.25">
      <c r="A24" s="38" t="s">
        <v>113</v>
      </c>
      <c r="B24" s="60">
        <f t="shared" ca="1" si="0"/>
        <v>29000</v>
      </c>
    </row>
  </sheetData>
  <mergeCells count="2">
    <mergeCell ref="G1:N2"/>
    <mergeCell ref="G8:K13"/>
  </mergeCells>
  <conditionalFormatting sqref="B5:B24">
    <cfRule type="cellIs" dxfId="76" priority="4" operator="equal">
      <formula>50000</formula>
    </cfRule>
    <cfRule type="cellIs" dxfId="77" priority="3" operator="greaterThan">
      <formula>50000</formula>
    </cfRule>
    <cfRule type="cellIs" dxfId="78" priority="2" operator="between">
      <formula>30000</formula>
      <formula>49999</formula>
    </cfRule>
    <cfRule type="cellIs" dxfId="79" priority="1" operator="lessThan">
      <formula>30000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heli</dc:creator>
  <cp:lastModifiedBy>patel heli</cp:lastModifiedBy>
  <dcterms:created xsi:type="dcterms:W3CDTF">2026-06-23T12:45:43Z</dcterms:created>
  <dcterms:modified xsi:type="dcterms:W3CDTF">2026-06-24T16:47:47Z</dcterms:modified>
</cp:coreProperties>
</file>