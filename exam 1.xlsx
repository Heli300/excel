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heli adani\EXAM-1\"/>
    </mc:Choice>
  </mc:AlternateContent>
  <xr:revisionPtr revIDLastSave="0" documentId="13_ncr:1_{5F4D1EAA-86B7-424D-B3B3-228C152229D2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ANSWER-16,17,18" sheetId="13" r:id="rId1"/>
    <sheet name="Sales_Data" sheetId="2" r:id="rId2"/>
    <sheet name="Product_Master" sheetId="3" r:id="rId3"/>
    <sheet name="ANSWER-19" sheetId="14" r:id="rId4"/>
    <sheet name="Student_Marks" sheetId="4" r:id="rId5"/>
    <sheet name="Questions" sheetId="5" r:id="rId6"/>
  </sheets>
  <definedNames>
    <definedName name="_xlnm._FilterDatabase" localSheetId="1" hidden="1">Sales_Data!$C$14:$D$20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2" l="1"/>
  <c r="U3" i="2"/>
  <c r="U4" i="2"/>
  <c r="U5" i="2"/>
  <c r="U6" i="2"/>
  <c r="U7" i="2"/>
  <c r="U2" i="2"/>
  <c r="M3" i="4"/>
  <c r="M4" i="4"/>
  <c r="M5" i="4"/>
  <c r="M6" i="4"/>
  <c r="M2" i="4"/>
  <c r="K3" i="4"/>
  <c r="K4" i="4"/>
  <c r="K5" i="4"/>
  <c r="K6" i="4"/>
  <c r="K2" i="4"/>
  <c r="J3" i="4"/>
  <c r="J4" i="4"/>
  <c r="J5" i="4"/>
  <c r="J6" i="4"/>
  <c r="J2" i="4"/>
  <c r="I2" i="4"/>
  <c r="G3" i="4"/>
  <c r="G4" i="4"/>
  <c r="G5" i="4"/>
  <c r="G6" i="4"/>
  <c r="G2" i="4"/>
  <c r="R3" i="2"/>
  <c r="R4" i="2"/>
  <c r="R5" i="2"/>
  <c r="R6" i="2"/>
  <c r="R7" i="2"/>
  <c r="R2" i="2"/>
  <c r="Q2" i="2"/>
  <c r="P2" i="2"/>
  <c r="O6" i="2"/>
  <c r="O7" i="2"/>
  <c r="O3" i="2"/>
  <c r="O4" i="2"/>
  <c r="O5" i="2"/>
  <c r="O2" i="2"/>
  <c r="N3" i="2"/>
  <c r="N4" i="2"/>
  <c r="N5" i="2"/>
  <c r="N2" i="2"/>
  <c r="L2" i="2"/>
  <c r="K2" i="2"/>
  <c r="J3" i="2"/>
  <c r="J4" i="2"/>
  <c r="J5" i="2"/>
  <c r="J6" i="2"/>
  <c r="J7" i="2"/>
  <c r="J2" i="2"/>
  <c r="I3" i="2"/>
  <c r="I4" i="2"/>
  <c r="I5" i="2"/>
  <c r="I6" i="2"/>
  <c r="I7" i="2"/>
  <c r="I2" i="2"/>
  <c r="H3" i="2"/>
  <c r="H4" i="2"/>
  <c r="H5" i="2"/>
  <c r="H6" i="2"/>
  <c r="H7" i="2"/>
  <c r="H2" i="2"/>
</calcChain>
</file>

<file path=xl/sharedStrings.xml><?xml version="1.0" encoding="utf-8"?>
<sst xmlns="http://schemas.openxmlformats.org/spreadsheetml/2006/main" count="164" uniqueCount="126">
  <si>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</si>
  <si>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</si>
  <si>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</si>
  <si>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</si>
  <si>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</si>
  <si>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</si>
  <si>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</si>
  <si>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</si>
  <si>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</si>
  <si>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</si>
  <si>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</si>
  <si>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</si>
  <si>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</si>
  <si>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</si>
  <si>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</si>
  <si>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</si>
  <si>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</si>
  <si>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</si>
  <si>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</si>
  <si>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</si>
  <si>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</si>
  <si>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</si>
  <si>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</si>
  <si>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</si>
  <si>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</si>
  <si>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</si>
  <si>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</si>
  <si>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</si>
  <si>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</si>
  <si>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</si>
  <si>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</si>
  <si>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</si>
  <si>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</si>
  <si>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</si>
  <si>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</si>
  <si>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</si>
  <si>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</si>
  <si>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</si>
  <si>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 xml:space="preserve"> Calculate Total Sales for each order (Quantity × Unit_Price).</t>
  </si>
  <si>
    <t xml:space="preserve"> Calculate GST Amount using VLOOKUP from Product_Master.</t>
  </si>
  <si>
    <t xml:space="preserve"> Find Final Amount payable (Total Sales + GST).</t>
  </si>
  <si>
    <t xml:space="preserve"> Find Grand Total of Final Amount.</t>
  </si>
  <si>
    <t xml:space="preserve"> Count total number of orders using COUNTA.</t>
  </si>
  <si>
    <t>Find Region-wise total sales using SUMIF.</t>
  </si>
  <si>
    <t xml:space="preserve"> Use IF to classify Quantity as High (&gt;3) or Low (&lt;=3).</t>
  </si>
  <si>
    <t xml:space="preserve"> Find the maximum and minimum Final Amount.</t>
  </si>
  <si>
    <t xml:space="preserve"> Extract month name from Sales_Date.</t>
  </si>
  <si>
    <t xml:space="preserve"> Sort Sales_Data by Final Amount (Descending).</t>
  </si>
  <si>
    <t xml:space="preserve"> Use INDEX-MATCH to fetch Product Category.</t>
  </si>
  <si>
    <t xml:space="preserve"> Calculate average marks of each student.</t>
  </si>
  <si>
    <t xml:space="preserve"> Find the topper based on average marks.</t>
  </si>
  <si>
    <t xml:space="preserve"> Count students with Attendance above 90%.</t>
  </si>
  <si>
    <t xml:space="preserve"> Use IF to classify students as Eligible (Attendance &gt;= 85%).</t>
  </si>
  <si>
    <t xml:space="preserve"> Create a Pivot Table showing Product-wise Total Sales.</t>
  </si>
  <si>
    <t xml:space="preserve"> Create a Pivot Table showing Region-wise Total Sales.</t>
  </si>
  <si>
    <t xml:space="preserve"> Insert a Pivot Chart for Product-wise Sales.</t>
  </si>
  <si>
    <t xml:space="preserve"> Create a Bar Chart for Student Excel marks.</t>
  </si>
  <si>
    <t xml:space="preserve"> Find Median of Statistics marks.</t>
  </si>
  <si>
    <t xml:space="preserve"> Find Standard Deviation of Excel marks.</t>
  </si>
  <si>
    <t xml:space="preserve"> Use CONCAT to combine Student_ID and Name.</t>
  </si>
  <si>
    <t xml:space="preserve"> Use LEFT function to extract first 2 letters of Salesperson name.</t>
  </si>
  <si>
    <t xml:space="preserve"> Apply Conditional Formatting to highlight Final Amount &gt; 60000.</t>
  </si>
  <si>
    <t xml:space="preserve"> Filter orders where Product is Laptop and Quantity &gt; 1.</t>
  </si>
  <si>
    <t xml:space="preserve"> Use COUNTIFS to count Laptop orders in North region.</t>
  </si>
  <si>
    <t xml:space="preserve"> Use ROUND to round Unit_Price to nearest thousand.</t>
  </si>
  <si>
    <t xml:space="preserve"> Remove duplicate records if present.</t>
  </si>
  <si>
    <t xml:space="preserve"> Freeze top row in Sales_Data sheet.</t>
  </si>
  <si>
    <t xml:space="preserve"> Protect the Student_Marks sheet.</t>
  </si>
  <si>
    <t>TOTAL SALES</t>
  </si>
  <si>
    <t>ANSWER-1</t>
  </si>
  <si>
    <t>GST AMOUNT</t>
  </si>
  <si>
    <t>ANSWER-2</t>
  </si>
  <si>
    <t>FINAL AMOUNT</t>
  </si>
  <si>
    <t>GRAND TOTAL</t>
  </si>
  <si>
    <t>ANSWER-4</t>
  </si>
  <si>
    <t>COUNT TOTAL ORDER</t>
  </si>
  <si>
    <t>ANSWER-5</t>
  </si>
  <si>
    <t>REGION</t>
  </si>
  <si>
    <t>SOUTH</t>
  </si>
  <si>
    <t>EAST</t>
  </si>
  <si>
    <t>WEST</t>
  </si>
  <si>
    <t>NORTH</t>
  </si>
  <si>
    <t>TTOAL SALES</t>
  </si>
  <si>
    <t>ANSWER-6</t>
  </si>
  <si>
    <t>HIGH/LOW QTY</t>
  </si>
  <si>
    <t>ANSWER-7</t>
  </si>
  <si>
    <t>MAX FINAL AMOUNT</t>
  </si>
  <si>
    <t>MIN FINAL AMOUNT</t>
  </si>
  <si>
    <t>ANSWER-8</t>
  </si>
  <si>
    <t>MONTH NAME</t>
  </si>
  <si>
    <t>ANSWER-9</t>
  </si>
  <si>
    <t>ANSWER-11</t>
  </si>
  <si>
    <t>AVG MARKS</t>
  </si>
  <si>
    <t>ANSWER-12</t>
  </si>
  <si>
    <t>FIND TOPPER</t>
  </si>
  <si>
    <t>ATTENDANCE</t>
  </si>
  <si>
    <t>ANSWER-13</t>
  </si>
  <si>
    <t>ANSWER-14</t>
  </si>
  <si>
    <t>ELIGIBLE /NOT</t>
  </si>
  <si>
    <t>ANSWER-15</t>
  </si>
  <si>
    <t>ANSWER-10</t>
  </si>
  <si>
    <t>Row Labels</t>
  </si>
  <si>
    <t>Grand Total</t>
  </si>
  <si>
    <t>Sum of TOTAL SALES</t>
  </si>
  <si>
    <t>ANSWER-16</t>
  </si>
  <si>
    <t>ANSWER-17</t>
  </si>
  <si>
    <t>ANSWER-18</t>
  </si>
  <si>
    <t>Sum of Excel</t>
  </si>
  <si>
    <t>ANSWER-19</t>
  </si>
  <si>
    <t>MEDIAN</t>
  </si>
  <si>
    <t>ANSWER-20</t>
  </si>
  <si>
    <t>ANSWER-21</t>
  </si>
  <si>
    <t>CONCAT</t>
  </si>
  <si>
    <t>ANSWER-22</t>
  </si>
  <si>
    <t>LEFT FUNCATION</t>
  </si>
  <si>
    <t>ANSWER-23</t>
  </si>
  <si>
    <t>ANSWER-3,24</t>
  </si>
  <si>
    <t>ANSWER-25</t>
  </si>
  <si>
    <t>COUNT LAPTOP REGION</t>
  </si>
  <si>
    <t>ANSWER-26</t>
  </si>
  <si>
    <t>ANSWER-27</t>
  </si>
  <si>
    <t>DUPLICATE</t>
  </si>
  <si>
    <t>ANSWER-28</t>
  </si>
  <si>
    <t>FREES TOP ROW</t>
  </si>
  <si>
    <t>ANSWER-29</t>
  </si>
  <si>
    <t>ANSWER-30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</si>
</sst>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2" borderId="3" xfId="1" applyBorder="1" applyAlignment="1">
      <alignment vertical="center"/>
    </xf>
    <xf numFmtId="0" fontId="1" fillId="2" borderId="0" xfId="1" applyBorder="1" applyAlignment="1">
      <alignment vertical="center"/>
    </xf>
    <xf numFmtId="0" fontId="1" fillId="2" borderId="4" xfId="1" applyBorder="1" applyAlignment="1">
      <alignment vertical="center"/>
    </xf>
    <xf numFmtId="0" fontId="1" fillId="2" borderId="5" xfId="1" applyBorder="1" applyAlignment="1">
      <alignment vertical="center"/>
    </xf>
    <xf numFmtId="0" fontId="1" fillId="2" borderId="6" xfId="1" applyBorder="1" applyAlignment="1">
      <alignment vertical="center"/>
    </xf>
    <xf numFmtId="0" fontId="1" fillId="2" borderId="7" xfId="1" applyBorder="1" applyAlignment="1">
      <alignment vertical="center"/>
    </xf>
    <xf numFmtId="0" fontId="1" fillId="2" borderId="8" xfId="1" applyBorder="1" applyAlignment="1">
      <alignment vertical="center"/>
    </xf>
    <xf numFmtId="0" fontId="1" fillId="2" borderId="2" xfId="1" applyBorder="1" applyAlignment="1">
      <alignment vertical="center"/>
    </xf>
    <xf numFmtId="0" fontId="1" fillId="2" borderId="9" xfId="1" applyBorder="1" applyAlignment="1">
      <alignment vertical="center"/>
    </xf>
    <xf numFmtId="0" fontId="1" fillId="4" borderId="1" xfId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Border="1"/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0" fontId="1" fillId="5" borderId="10" xfId="1" applyFill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</cellXfs>
  <cellStyles count="2">
    <cellStyle name="Good" xfId="1" builtinId="26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 1.xlsx]ANSWER-16,17,18!PivotTable6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'ANSWER-16,17,18'!$B$1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'ANSWER-16,17,18'!$A$2:$A$5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'ANSWER-16,17,18'!$B$2:$B$5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0-4228-A405-6AF6C57DD1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5358751"/>
        <c:axId val="210535279"/>
      </c:barChart>
      <c:catAx>
        <c:axId val="22535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5279"/>
        <c:crosses val="autoZero"/>
        <c:auto val="1"/>
        <c:lblAlgn val="ctr"/>
        <c:lblOffset val="100"/>
        <c:noMultiLvlLbl val="0"/>
      </c:catAx>
      <c:valAx>
        <c:axId val="21053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5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 1.xlsx]ANSWER-19!PivotTable8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</a:t>
            </a:r>
            <a:r>
              <a:rPr lang="en-US" baseline="0"/>
              <a:t> By Excel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'ANSWER-19'!$B$1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'ANSWER-19'!$A$2:$A$7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'ANSWER-19'!$B$2:$B$7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3-49C0-ABB3-F2BF78C11C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178511"/>
        <c:axId val="210620719"/>
      </c:barChart>
      <c:catAx>
        <c:axId val="19317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20719"/>
        <c:crosses val="autoZero"/>
        <c:auto val="1"/>
        <c:lblAlgn val="ctr"/>
        <c:lblOffset val="100"/>
        <c:noMultiLvlLbl val="0"/>
      </c:catAx>
      <c:valAx>
        <c:axId val="21062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2B183-8D38-633A-7A00-53E8DA159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10</xdr:col>
      <xdr:colOff>314325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07321-FB49-E701-E8E4-0B820A668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I PATEL" refreshedDate="46212.466270370373" createdVersion="8" refreshedVersion="8" minRefreshableVersion="3" recordCount="6" xr:uid="{6B6075B6-FBBD-4F23-821C-8D2C0CD4C30C}">
  <cacheSource type="worksheet">
    <worksheetSource ref="A1:H7" sheet="Sales_Data"/>
  </cacheSource>
  <cacheFields count="8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I PATEL" refreshedDate="46212.46849861111" createdVersion="8" refreshedVersion="8" minRefreshableVersion="3" recordCount="5" xr:uid="{29BE8FCA-D5CA-407C-94E4-0361EFADD5CD}">
  <cacheSource type="worksheet">
    <worksheetSource ref="A1:F6" sheet="Student_Marks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</r>
  <r>
    <n v="302"/>
    <x v="1"/>
    <s v="Riya"/>
    <x v="1"/>
    <n v="5"/>
    <n v="15000"/>
    <s v="07-01-2025"/>
    <n v="75000"/>
  </r>
  <r>
    <n v="303"/>
    <x v="2"/>
    <s v="Kunal"/>
    <x v="2"/>
    <n v="3"/>
    <n v="18000"/>
    <s v="10-01-2025"/>
    <n v="54000"/>
  </r>
  <r>
    <n v="304"/>
    <x v="3"/>
    <s v="Neha"/>
    <x v="0"/>
    <n v="1"/>
    <n v="45000"/>
    <s v="12-01-2025"/>
    <n v="45000"/>
  </r>
  <r>
    <n v="305"/>
    <x v="0"/>
    <s v="Amit"/>
    <x v="1"/>
    <n v="4"/>
    <n v="15000"/>
    <s v="15-01-2025"/>
    <n v="60000"/>
  </r>
  <r>
    <n v="306"/>
    <x v="1"/>
    <s v="Riya"/>
    <x v="0"/>
    <n v="2"/>
    <n v="45000"/>
    <s v="18-01-2025"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524A5-905D-4665-8EC1-96268F84931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327DE-7204-4353-859D-EA244B462D2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B20" firstHeaderRow="1" firstDataRow="1" firstDataCol="1"/>
  <pivotFields count="8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D0ADF-C89F-4467-8C7C-96D02B07B76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08C6-258D-459A-A6B3-285997B059DE}">
  <dimension ref="A1:G22"/>
  <sheetViews>
    <sheetView workbookViewId="0">
      <selection activeCell="G27" sqref="G27"/>
    </sheetView>
  </sheetViews>
  <sheetFormatPr defaultRowHeight="15" x14ac:dyDescent="0.25"/>
  <cols>
    <col min="1" max="1" width="13.140625" bestFit="1" customWidth="1"/>
    <col min="2" max="2" width="19" bestFit="1" customWidth="1"/>
    <col min="7" max="7" width="13" customWidth="1"/>
  </cols>
  <sheetData>
    <row r="1" spans="1:2" x14ac:dyDescent="0.25">
      <c r="A1" s="26" t="s">
        <v>101</v>
      </c>
      <c r="B1" t="s">
        <v>103</v>
      </c>
    </row>
    <row r="2" spans="1:2" x14ac:dyDescent="0.25">
      <c r="A2" s="27" t="s">
        <v>9</v>
      </c>
      <c r="B2">
        <v>225000</v>
      </c>
    </row>
    <row r="3" spans="1:2" x14ac:dyDescent="0.25">
      <c r="A3" s="27" t="s">
        <v>13</v>
      </c>
      <c r="B3">
        <v>135000</v>
      </c>
    </row>
    <row r="4" spans="1:2" x14ac:dyDescent="0.25">
      <c r="A4" s="27" t="s">
        <v>17</v>
      </c>
      <c r="B4">
        <v>54000</v>
      </c>
    </row>
    <row r="5" spans="1:2" x14ac:dyDescent="0.25">
      <c r="A5" s="27" t="s">
        <v>102</v>
      </c>
      <c r="B5">
        <v>414000</v>
      </c>
    </row>
    <row r="7" spans="1:2" x14ac:dyDescent="0.25">
      <c r="A7" s="28" t="s">
        <v>104</v>
      </c>
    </row>
    <row r="15" spans="1:2" x14ac:dyDescent="0.25">
      <c r="A15" s="26" t="s">
        <v>101</v>
      </c>
      <c r="B15" t="s">
        <v>103</v>
      </c>
    </row>
    <row r="16" spans="1:2" x14ac:dyDescent="0.25">
      <c r="A16" s="27" t="s">
        <v>15</v>
      </c>
      <c r="B16">
        <v>54000</v>
      </c>
    </row>
    <row r="17" spans="1:7" x14ac:dyDescent="0.25">
      <c r="A17" s="27" t="s">
        <v>7</v>
      </c>
      <c r="B17">
        <v>150000</v>
      </c>
    </row>
    <row r="18" spans="1:7" x14ac:dyDescent="0.25">
      <c r="A18" s="27" t="s">
        <v>11</v>
      </c>
      <c r="B18">
        <v>165000</v>
      </c>
      <c r="G18" s="22" t="s">
        <v>106</v>
      </c>
    </row>
    <row r="19" spans="1:7" x14ac:dyDescent="0.25">
      <c r="A19" s="27" t="s">
        <v>19</v>
      </c>
      <c r="B19">
        <v>45000</v>
      </c>
    </row>
    <row r="20" spans="1:7" x14ac:dyDescent="0.25">
      <c r="A20" s="27" t="s">
        <v>102</v>
      </c>
      <c r="B20">
        <v>414000</v>
      </c>
    </row>
    <row r="22" spans="1:7" x14ac:dyDescent="0.25">
      <c r="B22" s="22" t="s">
        <v>105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21"/>
  <sheetViews>
    <sheetView zoomScale="70" workbookViewId="0">
      <pane ySplit="1" topLeftCell="A2" activePane="bottomLeft" state="frozen"/>
      <selection pane="bottomLeft" activeCell="H34" sqref="H34"/>
    </sheetView>
  </sheetViews>
  <sheetFormatPr defaultRowHeight="15" x14ac:dyDescent="0.25"/>
  <cols>
    <col min="1" max="1" width="10.140625" customWidth="1"/>
    <col min="2" max="2" width="10.7109375" customWidth="1"/>
    <col min="3" max="3" width="13" customWidth="1"/>
    <col min="4" max="5" width="11.140625" customWidth="1"/>
    <col min="6" max="6" width="21" customWidth="1"/>
    <col min="7" max="7" width="10.7109375" customWidth="1"/>
    <col min="8" max="8" width="12" customWidth="1"/>
    <col min="9" max="9" width="15" customWidth="1"/>
    <col min="10" max="10" width="17.42578125" customWidth="1"/>
    <col min="11" max="11" width="16.42578125" customWidth="1"/>
    <col min="12" max="12" width="20" bestFit="1" customWidth="1"/>
    <col min="13" max="13" width="12.7109375" customWidth="1"/>
    <col min="14" max="14" width="13.140625" customWidth="1"/>
    <col min="15" max="15" width="15.5703125" customWidth="1"/>
    <col min="16" max="16" width="25.5703125" customWidth="1"/>
    <col min="17" max="17" width="18.140625" customWidth="1"/>
    <col min="18" max="18" width="15.28515625" customWidth="1"/>
    <col min="19" max="19" width="13.5703125" customWidth="1"/>
    <col min="20" max="20" width="12.28515625" customWidth="1"/>
    <col min="21" max="21" width="18.140625" customWidth="1"/>
    <col min="22" max="22" width="22.5703125" customWidth="1"/>
    <col min="23" max="23" width="12.5703125" customWidth="1"/>
  </cols>
  <sheetData>
    <row r="1" spans="1:23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6" t="s">
        <v>68</v>
      </c>
      <c r="I1" s="16" t="s">
        <v>70</v>
      </c>
      <c r="J1" s="16" t="s">
        <v>72</v>
      </c>
      <c r="K1" s="16" t="s">
        <v>73</v>
      </c>
      <c r="L1" s="16" t="s">
        <v>75</v>
      </c>
      <c r="M1" s="16" t="s">
        <v>77</v>
      </c>
      <c r="N1" s="16" t="s">
        <v>82</v>
      </c>
      <c r="O1" s="16" t="s">
        <v>84</v>
      </c>
      <c r="P1" s="16" t="s">
        <v>86</v>
      </c>
      <c r="Q1" s="16" t="s">
        <v>87</v>
      </c>
      <c r="R1" s="16" t="s">
        <v>89</v>
      </c>
      <c r="S1" s="16"/>
      <c r="T1" s="21"/>
      <c r="U1" s="16" t="s">
        <v>114</v>
      </c>
      <c r="V1" s="16" t="s">
        <v>118</v>
      </c>
      <c r="W1" s="21"/>
    </row>
    <row r="2" spans="1:23" x14ac:dyDescent="0.25">
      <c r="A2" s="14">
        <v>301</v>
      </c>
      <c r="B2" s="14" t="s">
        <v>7</v>
      </c>
      <c r="C2" s="14" t="s">
        <v>8</v>
      </c>
      <c r="D2" s="14" t="s">
        <v>9</v>
      </c>
      <c r="E2" s="14">
        <v>2</v>
      </c>
      <c r="F2" s="14">
        <v>45000</v>
      </c>
      <c r="G2" s="14" t="s">
        <v>10</v>
      </c>
      <c r="H2" s="18">
        <f>E2*F2</f>
        <v>90000</v>
      </c>
      <c r="I2" s="18">
        <f>H2*VLOOKUP(D2,Product_Master!$A$2:$C$4,3,0)/100</f>
        <v>16200</v>
      </c>
      <c r="J2" s="18">
        <f>H2+I2</f>
        <v>106200</v>
      </c>
      <c r="K2" s="18">
        <f>SUM(J2:J7)</f>
        <v>477180</v>
      </c>
      <c r="L2" s="18">
        <f>COUNTA(A2:A7)</f>
        <v>6</v>
      </c>
      <c r="M2" s="18" t="s">
        <v>81</v>
      </c>
      <c r="N2" s="18">
        <f>SUMIF($B$2:$B$7,M2,$H$2:$H$7)</f>
        <v>150000</v>
      </c>
      <c r="O2" s="18" t="str">
        <f>IF(E2&gt;3,"HIGH","LOW")</f>
        <v>LOW</v>
      </c>
      <c r="P2" s="18">
        <f>MAX(J2:J7)</f>
        <v>106200</v>
      </c>
      <c r="Q2" s="18">
        <f>MIN(J2:J7)</f>
        <v>53100</v>
      </c>
      <c r="R2" s="18" t="str">
        <f>TEXT(G2,"MMMM")</f>
        <v>January</v>
      </c>
      <c r="S2" s="19"/>
      <c r="T2" s="21"/>
      <c r="U2" s="21" t="str">
        <f>LEFT(C2,2)</f>
        <v>Am</v>
      </c>
      <c r="V2" s="21">
        <f>COUNTIFS(B2:B7,"North",D2:D7,"Laptop")</f>
        <v>1</v>
      </c>
      <c r="W2" s="21"/>
    </row>
    <row r="3" spans="1:23" x14ac:dyDescent="0.25">
      <c r="A3" s="14">
        <v>302</v>
      </c>
      <c r="B3" s="14" t="s">
        <v>11</v>
      </c>
      <c r="C3" s="14" t="s">
        <v>12</v>
      </c>
      <c r="D3" s="14" t="s">
        <v>13</v>
      </c>
      <c r="E3" s="14">
        <v>5</v>
      </c>
      <c r="F3" s="14">
        <v>15000</v>
      </c>
      <c r="G3" s="14" t="s">
        <v>14</v>
      </c>
      <c r="H3" s="18">
        <f t="shared" ref="H3:H7" si="0">E3*F3</f>
        <v>75000</v>
      </c>
      <c r="I3" s="18">
        <f>H3*VLOOKUP(D3,Product_Master!$A$2:$C$4,3,0)/100</f>
        <v>9000</v>
      </c>
      <c r="J3" s="18">
        <f t="shared" ref="J3:J7" si="1">H3+I3</f>
        <v>84000</v>
      </c>
      <c r="K3" s="18"/>
      <c r="L3" s="18"/>
      <c r="M3" s="18" t="s">
        <v>78</v>
      </c>
      <c r="N3" s="18">
        <f t="shared" ref="N3:N5" si="2">SUMIF($B$2:$B$7,M3,$H$2:$H$7)</f>
        <v>165000</v>
      </c>
      <c r="O3" s="18" t="str">
        <f t="shared" ref="O3:O7" si="3">IF(E3&gt;3,"HIGH","LOW")</f>
        <v>HIGH</v>
      </c>
      <c r="P3" s="18"/>
      <c r="Q3" s="18"/>
      <c r="R3" s="18" t="str">
        <f t="shared" ref="R3:R7" si="4">TEXT(G3,"MMMM")</f>
        <v>January</v>
      </c>
      <c r="S3" s="19"/>
      <c r="T3" s="21"/>
      <c r="U3" s="21" t="str">
        <f t="shared" ref="U3:U7" si="5">LEFT(C3,2)</f>
        <v>Ri</v>
      </c>
      <c r="V3" s="21"/>
      <c r="W3" s="21"/>
    </row>
    <row r="4" spans="1:23" x14ac:dyDescent="0.25">
      <c r="A4" s="14">
        <v>303</v>
      </c>
      <c r="B4" s="14" t="s">
        <v>15</v>
      </c>
      <c r="C4" s="14" t="s">
        <v>16</v>
      </c>
      <c r="D4" s="14" t="s">
        <v>17</v>
      </c>
      <c r="E4" s="14">
        <v>3</v>
      </c>
      <c r="F4" s="14">
        <v>18000</v>
      </c>
      <c r="G4" s="14" t="s">
        <v>18</v>
      </c>
      <c r="H4" s="18">
        <f t="shared" si="0"/>
        <v>54000</v>
      </c>
      <c r="I4" s="18">
        <f>H4*VLOOKUP(D4,Product_Master!$A$2:$C$4,3,0)/100</f>
        <v>6480</v>
      </c>
      <c r="J4" s="18">
        <f t="shared" si="1"/>
        <v>60480</v>
      </c>
      <c r="K4" s="18"/>
      <c r="L4" s="18"/>
      <c r="M4" s="18" t="s">
        <v>79</v>
      </c>
      <c r="N4" s="18">
        <f t="shared" si="2"/>
        <v>54000</v>
      </c>
      <c r="O4" s="18" t="str">
        <f t="shared" si="3"/>
        <v>LOW</v>
      </c>
      <c r="P4" s="18"/>
      <c r="Q4" s="18"/>
      <c r="R4" s="18" t="str">
        <f t="shared" si="4"/>
        <v>January</v>
      </c>
      <c r="S4" s="19"/>
      <c r="T4" s="21"/>
      <c r="U4" s="21" t="str">
        <f t="shared" si="5"/>
        <v>Ku</v>
      </c>
      <c r="V4" s="21"/>
      <c r="W4" s="21"/>
    </row>
    <row r="5" spans="1:23" x14ac:dyDescent="0.25">
      <c r="A5" s="14">
        <v>304</v>
      </c>
      <c r="B5" s="14" t="s">
        <v>19</v>
      </c>
      <c r="C5" s="14" t="s">
        <v>20</v>
      </c>
      <c r="D5" s="14" t="s">
        <v>9</v>
      </c>
      <c r="E5" s="14">
        <v>1</v>
      </c>
      <c r="F5" s="14">
        <v>45000</v>
      </c>
      <c r="G5" s="14" t="s">
        <v>21</v>
      </c>
      <c r="H5" s="18">
        <f t="shared" si="0"/>
        <v>45000</v>
      </c>
      <c r="I5" s="18">
        <f>H5*VLOOKUP(D5,Product_Master!$A$2:$C$4,3,0)/100</f>
        <v>8100</v>
      </c>
      <c r="J5" s="18">
        <f t="shared" si="1"/>
        <v>53100</v>
      </c>
      <c r="K5" s="18"/>
      <c r="L5" s="18"/>
      <c r="M5" s="18" t="s">
        <v>80</v>
      </c>
      <c r="N5" s="18">
        <f t="shared" si="2"/>
        <v>45000</v>
      </c>
      <c r="O5" s="18" t="str">
        <f t="shared" si="3"/>
        <v>LOW</v>
      </c>
      <c r="P5" s="18"/>
      <c r="Q5" s="18"/>
      <c r="R5" s="18" t="str">
        <f t="shared" si="4"/>
        <v>January</v>
      </c>
      <c r="S5" s="19"/>
      <c r="T5" s="21"/>
      <c r="U5" s="21" t="str">
        <f t="shared" si="5"/>
        <v>Ne</v>
      </c>
      <c r="V5" s="21"/>
      <c r="W5" s="21"/>
    </row>
    <row r="6" spans="1:23" x14ac:dyDescent="0.25">
      <c r="A6" s="14">
        <v>305</v>
      </c>
      <c r="B6" s="14" t="s">
        <v>7</v>
      </c>
      <c r="C6" s="14" t="s">
        <v>8</v>
      </c>
      <c r="D6" s="14" t="s">
        <v>13</v>
      </c>
      <c r="E6" s="14">
        <v>4</v>
      </c>
      <c r="F6" s="14">
        <v>15000</v>
      </c>
      <c r="G6" s="14" t="s">
        <v>22</v>
      </c>
      <c r="H6" s="18">
        <f t="shared" si="0"/>
        <v>60000</v>
      </c>
      <c r="I6" s="18">
        <f>H6*VLOOKUP(D6,Product_Master!$A$2:$C$4,3,0)/100</f>
        <v>7200</v>
      </c>
      <c r="J6" s="18">
        <f t="shared" si="1"/>
        <v>67200</v>
      </c>
      <c r="K6" s="18"/>
      <c r="L6" s="18"/>
      <c r="M6" s="18"/>
      <c r="N6" s="18"/>
      <c r="O6" s="18" t="str">
        <f t="shared" si="3"/>
        <v>HIGH</v>
      </c>
      <c r="P6" s="18"/>
      <c r="Q6" s="18"/>
      <c r="R6" s="18" t="str">
        <f t="shared" si="4"/>
        <v>January</v>
      </c>
      <c r="S6" s="19"/>
      <c r="T6" s="21"/>
      <c r="U6" s="21" t="str">
        <f t="shared" si="5"/>
        <v>Am</v>
      </c>
      <c r="V6" s="21"/>
      <c r="W6" s="21"/>
    </row>
    <row r="7" spans="1:23" x14ac:dyDescent="0.25">
      <c r="A7" s="14">
        <v>306</v>
      </c>
      <c r="B7" s="14" t="s">
        <v>11</v>
      </c>
      <c r="C7" s="14" t="s">
        <v>12</v>
      </c>
      <c r="D7" s="14" t="s">
        <v>9</v>
      </c>
      <c r="E7" s="14">
        <v>2</v>
      </c>
      <c r="F7" s="14">
        <v>45000</v>
      </c>
      <c r="G7" s="14" t="s">
        <v>23</v>
      </c>
      <c r="H7" s="18">
        <f t="shared" si="0"/>
        <v>90000</v>
      </c>
      <c r="I7" s="18">
        <f>H7*VLOOKUP(D7,Product_Master!$A$2:$C$4,3,0)/100</f>
        <v>16200</v>
      </c>
      <c r="J7" s="18">
        <f t="shared" si="1"/>
        <v>106200</v>
      </c>
      <c r="K7" s="18"/>
      <c r="L7" s="18"/>
      <c r="M7" s="18"/>
      <c r="N7" s="18"/>
      <c r="O7" s="18" t="str">
        <f t="shared" si="3"/>
        <v>LOW</v>
      </c>
      <c r="P7" s="18"/>
      <c r="Q7" s="18"/>
      <c r="R7" s="18" t="str">
        <f t="shared" si="4"/>
        <v>January</v>
      </c>
      <c r="S7" s="19"/>
      <c r="T7" s="21"/>
      <c r="U7" s="21" t="str">
        <f t="shared" si="5"/>
        <v>Ri</v>
      </c>
      <c r="V7" s="21"/>
      <c r="W7" s="21"/>
    </row>
    <row r="8" spans="1:23" x14ac:dyDescent="0.25">
      <c r="H8" s="23" t="s">
        <v>69</v>
      </c>
      <c r="I8" s="23" t="s">
        <v>71</v>
      </c>
      <c r="J8" s="23" t="s">
        <v>116</v>
      </c>
      <c r="K8" s="23" t="s">
        <v>74</v>
      </c>
      <c r="L8" s="23" t="s">
        <v>76</v>
      </c>
      <c r="M8" s="31" t="s">
        <v>83</v>
      </c>
      <c r="N8" s="31"/>
      <c r="O8" s="23" t="s">
        <v>85</v>
      </c>
      <c r="P8" s="31" t="s">
        <v>88</v>
      </c>
      <c r="Q8" s="31"/>
      <c r="R8" s="23" t="s">
        <v>90</v>
      </c>
      <c r="S8" s="25" t="s">
        <v>91</v>
      </c>
      <c r="T8" s="23" t="s">
        <v>100</v>
      </c>
      <c r="U8" s="23" t="s">
        <v>115</v>
      </c>
      <c r="V8" s="23" t="s">
        <v>119</v>
      </c>
      <c r="W8" s="23" t="s">
        <v>120</v>
      </c>
    </row>
    <row r="10" spans="1:23" x14ac:dyDescent="0.25">
      <c r="A10" s="17"/>
    </row>
    <row r="14" spans="1:23" x14ac:dyDescent="0.25">
      <c r="C14" s="13" t="s">
        <v>3</v>
      </c>
      <c r="D14" s="13" t="s">
        <v>4</v>
      </c>
    </row>
    <row r="15" spans="1:23" x14ac:dyDescent="0.25">
      <c r="C15" s="14" t="s">
        <v>9</v>
      </c>
      <c r="D15" s="14">
        <v>2</v>
      </c>
      <c r="F15" s="21" t="s">
        <v>123</v>
      </c>
    </row>
    <row r="16" spans="1:23" hidden="1" x14ac:dyDescent="0.25">
      <c r="C16" s="14" t="s">
        <v>13</v>
      </c>
      <c r="D16" s="14">
        <v>5</v>
      </c>
    </row>
    <row r="17" spans="3:6" hidden="1" x14ac:dyDescent="0.25">
      <c r="C17" s="14" t="s">
        <v>17</v>
      </c>
      <c r="D17" s="14">
        <v>3</v>
      </c>
    </row>
    <row r="18" spans="3:6" hidden="1" x14ac:dyDescent="0.25">
      <c r="C18" s="14" t="s">
        <v>9</v>
      </c>
      <c r="D18" s="14">
        <v>1</v>
      </c>
    </row>
    <row r="19" spans="3:6" hidden="1" x14ac:dyDescent="0.25">
      <c r="C19" s="14" t="s">
        <v>13</v>
      </c>
      <c r="D19" s="14">
        <v>4</v>
      </c>
    </row>
    <row r="20" spans="3:6" x14ac:dyDescent="0.25">
      <c r="C20" s="14" t="s">
        <v>9</v>
      </c>
      <c r="D20" s="14">
        <v>2</v>
      </c>
      <c r="F20" s="21"/>
    </row>
    <row r="21" spans="3:6" x14ac:dyDescent="0.25">
      <c r="C21" s="32" t="s">
        <v>117</v>
      </c>
      <c r="D21" s="33"/>
      <c r="F21" s="23" t="s">
        <v>124</v>
      </c>
    </row>
  </sheetData>
  <autoFilter ref="C14:D20" xr:uid="{00000000-0001-0000-0100-000000000000}">
    <filterColumn colId="0">
      <filters>
        <filter val="Laptop"/>
      </filters>
    </filterColumn>
    <filterColumn colId="1">
      <customFilters>
        <customFilter operator="greaterThan" val="1"/>
      </customFilters>
    </filterColumn>
  </autoFilter>
  <sortState xmlns:xlrd2="http://schemas.microsoft.com/office/spreadsheetml/2017/richdata2" ref="A2:S10">
    <sortCondition descending="1" ref="J2:J7"/>
  </sortState>
  <mergeCells count="3">
    <mergeCell ref="M8:N8"/>
    <mergeCell ref="P8:Q8"/>
    <mergeCell ref="C21:D21"/>
  </mergeCells>
  <conditionalFormatting sqref="J1:J7">
    <cfRule type="cellIs" dxfId="0" priority="1" operator="greaterThan">
      <formula>60000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="115" zoomScaleNormal="115" workbookViewId="0">
      <selection activeCell="D1" sqref="D1:D5"/>
    </sheetView>
  </sheetViews>
  <sheetFormatPr defaultRowHeight="15" x14ac:dyDescent="0.25"/>
  <cols>
    <col min="2" max="2" width="14.85546875" customWidth="1"/>
    <col min="3" max="3" width="10.7109375" customWidth="1"/>
    <col min="4" max="4" width="12.28515625" customWidth="1"/>
  </cols>
  <sheetData>
    <row r="1" spans="1:4" x14ac:dyDescent="0.25">
      <c r="A1" s="15" t="s">
        <v>3</v>
      </c>
      <c r="B1" s="15" t="s">
        <v>24</v>
      </c>
      <c r="C1" s="29" t="s">
        <v>25</v>
      </c>
      <c r="D1" s="15" t="s">
        <v>121</v>
      </c>
    </row>
    <row r="2" spans="1:4" x14ac:dyDescent="0.25">
      <c r="A2" s="14" t="s">
        <v>9</v>
      </c>
      <c r="B2" s="14" t="s">
        <v>26</v>
      </c>
      <c r="C2" s="30">
        <v>18</v>
      </c>
      <c r="D2" s="24"/>
    </row>
    <row r="3" spans="1:4" x14ac:dyDescent="0.25">
      <c r="A3" s="14" t="s">
        <v>13</v>
      </c>
      <c r="B3" s="14" t="s">
        <v>26</v>
      </c>
      <c r="C3" s="30">
        <v>12</v>
      </c>
      <c r="D3" s="24"/>
    </row>
    <row r="4" spans="1:4" x14ac:dyDescent="0.25">
      <c r="A4" s="14" t="s">
        <v>17</v>
      </c>
      <c r="B4" s="14" t="s">
        <v>26</v>
      </c>
      <c r="C4" s="30">
        <v>12</v>
      </c>
      <c r="D4" s="24"/>
    </row>
    <row r="5" spans="1:4" x14ac:dyDescent="0.25">
      <c r="D5" s="23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73D9-4B23-42A0-9C17-E71E197628B7}">
  <dimension ref="A1:D19"/>
  <sheetViews>
    <sheetView workbookViewId="0">
      <selection activeCell="F24" sqref="F24"/>
    </sheetView>
  </sheetViews>
  <sheetFormatPr defaultRowHeight="15" x14ac:dyDescent="0.25"/>
  <cols>
    <col min="1" max="1" width="13.140625" bestFit="1" customWidth="1"/>
    <col min="2" max="2" width="12.140625" bestFit="1" customWidth="1"/>
    <col min="4" max="4" width="14.140625" customWidth="1"/>
  </cols>
  <sheetData>
    <row r="1" spans="1:2" x14ac:dyDescent="0.25">
      <c r="A1" s="26" t="s">
        <v>101</v>
      </c>
      <c r="B1" t="s">
        <v>107</v>
      </c>
    </row>
    <row r="2" spans="1:2" x14ac:dyDescent="0.25">
      <c r="A2" s="27" t="s">
        <v>35</v>
      </c>
      <c r="B2">
        <v>72</v>
      </c>
    </row>
    <row r="3" spans="1:2" x14ac:dyDescent="0.25">
      <c r="A3" s="27" t="s">
        <v>36</v>
      </c>
      <c r="B3">
        <v>94</v>
      </c>
    </row>
    <row r="4" spans="1:2" x14ac:dyDescent="0.25">
      <c r="A4" s="27" t="s">
        <v>33</v>
      </c>
      <c r="B4">
        <v>85</v>
      </c>
    </row>
    <row r="5" spans="1:2" x14ac:dyDescent="0.25">
      <c r="A5" s="27" t="s">
        <v>34</v>
      </c>
      <c r="B5">
        <v>90</v>
      </c>
    </row>
    <row r="6" spans="1:2" x14ac:dyDescent="0.25">
      <c r="A6" s="27" t="s">
        <v>37</v>
      </c>
      <c r="B6">
        <v>58</v>
      </c>
    </row>
    <row r="7" spans="1:2" x14ac:dyDescent="0.25">
      <c r="A7" s="27" t="s">
        <v>102</v>
      </c>
      <c r="B7">
        <v>399</v>
      </c>
    </row>
    <row r="19" spans="4:4" x14ac:dyDescent="0.25">
      <c r="D19" s="22" t="s">
        <v>108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>
      <selection activeCell="K2" sqref="K2"/>
    </sheetView>
  </sheetViews>
  <sheetFormatPr defaultRowHeight="15" x14ac:dyDescent="0.25"/>
  <cols>
    <col min="1" max="1" width="10.85546875" customWidth="1"/>
    <col min="6" max="6" width="14.140625" customWidth="1"/>
    <col min="7" max="7" width="12.140625" customWidth="1"/>
    <col min="8" max="8" width="12.28515625" customWidth="1"/>
    <col min="9" max="9" width="14.42578125" customWidth="1"/>
    <col min="10" max="10" width="13.7109375" customWidth="1"/>
    <col min="11" max="11" width="11.5703125" customWidth="1"/>
    <col min="12" max="12" width="13" customWidth="1"/>
    <col min="13" max="13" width="11.42578125" customWidth="1"/>
  </cols>
  <sheetData>
    <row r="1" spans="1:13" x14ac:dyDescent="0.25">
      <c r="A1" s="15" t="s">
        <v>27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  <c r="G1" s="20" t="s">
        <v>92</v>
      </c>
      <c r="H1" s="20" t="s">
        <v>94</v>
      </c>
      <c r="I1" s="20" t="s">
        <v>95</v>
      </c>
      <c r="J1" s="20" t="s">
        <v>98</v>
      </c>
      <c r="K1" s="20" t="s">
        <v>109</v>
      </c>
      <c r="L1" s="21"/>
      <c r="M1" s="20" t="s">
        <v>112</v>
      </c>
    </row>
    <row r="2" spans="1:13" x14ac:dyDescent="0.25">
      <c r="A2" s="14">
        <v>1</v>
      </c>
      <c r="B2" s="14" t="s">
        <v>33</v>
      </c>
      <c r="C2" s="14">
        <v>78</v>
      </c>
      <c r="D2" s="14">
        <v>82</v>
      </c>
      <c r="E2" s="14">
        <v>85</v>
      </c>
      <c r="F2" s="14">
        <v>92</v>
      </c>
      <c r="G2" s="19">
        <f>AVERAGE(C2:E2)</f>
        <v>81.666666666666671</v>
      </c>
      <c r="H2" s="19"/>
      <c r="I2" s="19">
        <f>COUNTIF(F2:F6,"&gt;90")</f>
        <v>3</v>
      </c>
      <c r="J2" s="19" t="str">
        <f>IF(F2&gt;=85,"ELIGIBLE","NOT ELIGIBLE")</f>
        <v>ELIGIBLE</v>
      </c>
      <c r="K2" s="21">
        <f>MEDIAN(D2:D6)</f>
        <v>82</v>
      </c>
      <c r="L2" s="21"/>
      <c r="M2" s="21" t="str">
        <f>_xlfn.CONCAT(A2,"-",B2)</f>
        <v>1-Rahul</v>
      </c>
    </row>
    <row r="3" spans="1:13" x14ac:dyDescent="0.25">
      <c r="A3" s="14">
        <v>2</v>
      </c>
      <c r="B3" s="14" t="s">
        <v>34</v>
      </c>
      <c r="C3" s="14">
        <v>88</v>
      </c>
      <c r="D3" s="14">
        <v>91</v>
      </c>
      <c r="E3" s="14">
        <v>90</v>
      </c>
      <c r="F3" s="14">
        <v>96</v>
      </c>
      <c r="G3" s="19">
        <f t="shared" ref="G3:G6" si="0">AVERAGE(C3:E3)</f>
        <v>89.666666666666671</v>
      </c>
      <c r="H3" s="19"/>
      <c r="I3" s="19"/>
      <c r="J3" s="19" t="str">
        <f t="shared" ref="J3:J6" si="1">IF(F3&gt;=85,"ELIGIBLE","NOT ELIGIBLE")</f>
        <v>ELIGIBLE</v>
      </c>
      <c r="K3" s="21">
        <f t="shared" ref="K3:K6" si="2">MEDIAN(D3:D7)</f>
        <v>79.5</v>
      </c>
      <c r="L3" s="21"/>
      <c r="M3" s="21" t="str">
        <f t="shared" ref="M3:M6" si="3">_xlfn.CONCAT(A3,"-",B3)</f>
        <v>2-Sneha</v>
      </c>
    </row>
    <row r="4" spans="1:13" x14ac:dyDescent="0.25">
      <c r="A4" s="14">
        <v>3</v>
      </c>
      <c r="B4" s="14" t="s">
        <v>35</v>
      </c>
      <c r="C4" s="14">
        <v>65</v>
      </c>
      <c r="D4" s="14">
        <v>70</v>
      </c>
      <c r="E4" s="14">
        <v>72</v>
      </c>
      <c r="F4" s="14">
        <v>85</v>
      </c>
      <c r="G4" s="19">
        <f t="shared" si="0"/>
        <v>69</v>
      </c>
      <c r="H4" s="19"/>
      <c r="I4" s="19"/>
      <c r="J4" s="19" t="str">
        <f t="shared" si="1"/>
        <v>ELIGIBLE</v>
      </c>
      <c r="K4" s="21">
        <f t="shared" si="2"/>
        <v>70</v>
      </c>
      <c r="L4" s="21"/>
      <c r="M4" s="21" t="str">
        <f t="shared" si="3"/>
        <v>3-Arjun</v>
      </c>
    </row>
    <row r="5" spans="1:13" x14ac:dyDescent="0.25">
      <c r="A5" s="14">
        <v>4</v>
      </c>
      <c r="B5" s="14" t="s">
        <v>36</v>
      </c>
      <c r="C5" s="14">
        <v>92</v>
      </c>
      <c r="D5" s="14">
        <v>89</v>
      </c>
      <c r="E5" s="14">
        <v>94</v>
      </c>
      <c r="F5" s="14">
        <v>98</v>
      </c>
      <c r="G5" s="19">
        <f t="shared" si="0"/>
        <v>91.666666666666671</v>
      </c>
      <c r="H5" s="19"/>
      <c r="I5" s="19"/>
      <c r="J5" s="19" t="str">
        <f t="shared" si="1"/>
        <v>ELIGIBLE</v>
      </c>
      <c r="K5" s="21">
        <f t="shared" si="2"/>
        <v>74.5</v>
      </c>
      <c r="L5" s="21"/>
      <c r="M5" s="21" t="str">
        <f t="shared" si="3"/>
        <v>4-Pooja</v>
      </c>
    </row>
    <row r="6" spans="1:13" x14ac:dyDescent="0.25">
      <c r="A6" s="14">
        <v>5</v>
      </c>
      <c r="B6" s="14" t="s">
        <v>37</v>
      </c>
      <c r="C6" s="14">
        <v>55</v>
      </c>
      <c r="D6" s="14">
        <v>60</v>
      </c>
      <c r="E6" s="14">
        <v>58</v>
      </c>
      <c r="F6" s="14">
        <v>80</v>
      </c>
      <c r="G6" s="19">
        <f t="shared" si="0"/>
        <v>57.666666666666664</v>
      </c>
      <c r="H6" s="19"/>
      <c r="I6" s="19"/>
      <c r="J6" s="19" t="str">
        <f t="shared" si="1"/>
        <v>NOT ELIGIBLE</v>
      </c>
      <c r="K6" s="21">
        <f t="shared" si="2"/>
        <v>60</v>
      </c>
      <c r="L6" s="21"/>
      <c r="M6" s="21" t="str">
        <f t="shared" si="3"/>
        <v>5-Vikas</v>
      </c>
    </row>
    <row r="7" spans="1:13" x14ac:dyDescent="0.25">
      <c r="G7" s="23" t="s">
        <v>93</v>
      </c>
      <c r="H7" s="23" t="s">
        <v>96</v>
      </c>
      <c r="I7" s="23" t="s">
        <v>97</v>
      </c>
      <c r="J7" s="23" t="s">
        <v>99</v>
      </c>
      <c r="K7" s="23" t="s">
        <v>110</v>
      </c>
      <c r="L7" s="23" t="s">
        <v>111</v>
      </c>
      <c r="M7" s="23" t="s">
        <v>113</v>
      </c>
    </row>
    <row r="14" spans="1:13" x14ac:dyDescent="0.25">
      <c r="F14" s="23" t="s">
        <v>125</v>
      </c>
    </row>
  </sheetData>
  <sheetProtection algorithmName="SHA-512" hashValue="nf3wHNWfOBE8nf1+AXCQM3OF+gdcJhYuszABNp5ZaetoAN48kxoaTE7sh35WPF+O7O9PKnxVdt5BVb2QuWsbRw==" saltValue="Dj4bYKv3AtDV894j3lmVwQ==" spinCount="100000" sheet="1" objects="1" scenarios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showGridLines="0" tabSelected="1" zoomScale="122" workbookViewId="0">
      <selection activeCell="M18" sqref="M18"/>
    </sheetView>
  </sheetViews>
  <sheetFormatPr defaultRowHeight="15" x14ac:dyDescent="0.25"/>
  <cols>
    <col min="13" max="13" width="21.28515625" customWidth="1"/>
  </cols>
  <sheetData>
    <row r="1" spans="1:9" x14ac:dyDescent="0.25">
      <c r="A1" s="3">
        <v>1</v>
      </c>
      <c r="B1" s="10" t="s">
        <v>38</v>
      </c>
      <c r="C1" s="11"/>
      <c r="D1" s="11"/>
      <c r="E1" s="11"/>
      <c r="F1" s="11"/>
      <c r="G1" s="11"/>
      <c r="H1" s="12"/>
      <c r="I1" s="2">
        <v>2</v>
      </c>
    </row>
    <row r="2" spans="1:9" x14ac:dyDescent="0.25">
      <c r="A2" s="3">
        <v>2</v>
      </c>
      <c r="B2" s="4" t="s">
        <v>39</v>
      </c>
      <c r="C2" s="5"/>
      <c r="D2" s="5"/>
      <c r="E2" s="5"/>
      <c r="F2" s="5"/>
      <c r="G2" s="5"/>
      <c r="H2" s="6"/>
      <c r="I2" s="2">
        <v>2</v>
      </c>
    </row>
    <row r="3" spans="1:9" x14ac:dyDescent="0.25">
      <c r="A3" s="3">
        <v>3</v>
      </c>
      <c r="B3" s="4" t="s">
        <v>40</v>
      </c>
      <c r="C3" s="5"/>
      <c r="D3" s="5"/>
      <c r="E3" s="5"/>
      <c r="F3" s="5"/>
      <c r="G3" s="5"/>
      <c r="H3" s="6"/>
      <c r="I3" s="2">
        <v>2</v>
      </c>
    </row>
    <row r="4" spans="1:9" x14ac:dyDescent="0.25">
      <c r="A4" s="3">
        <v>4</v>
      </c>
      <c r="B4" s="4" t="s">
        <v>41</v>
      </c>
      <c r="C4" s="5"/>
      <c r="D4" s="5"/>
      <c r="E4" s="5"/>
      <c r="F4" s="5"/>
      <c r="G4" s="5"/>
      <c r="H4" s="6"/>
      <c r="I4" s="2">
        <v>2</v>
      </c>
    </row>
    <row r="5" spans="1:9" x14ac:dyDescent="0.25">
      <c r="A5" s="3">
        <v>5</v>
      </c>
      <c r="B5" s="4" t="s">
        <v>42</v>
      </c>
      <c r="C5" s="5"/>
      <c r="D5" s="5"/>
      <c r="E5" s="5"/>
      <c r="F5" s="5"/>
      <c r="G5" s="5"/>
      <c r="H5" s="6"/>
      <c r="I5" s="2">
        <v>2</v>
      </c>
    </row>
    <row r="6" spans="1:9" x14ac:dyDescent="0.25">
      <c r="A6" s="3">
        <v>6</v>
      </c>
      <c r="B6" s="4" t="s">
        <v>43</v>
      </c>
      <c r="C6" s="5"/>
      <c r="D6" s="5"/>
      <c r="E6" s="5"/>
      <c r="F6" s="5"/>
      <c r="G6" s="5"/>
      <c r="H6" s="6"/>
      <c r="I6" s="2">
        <v>2</v>
      </c>
    </row>
    <row r="7" spans="1:9" x14ac:dyDescent="0.25">
      <c r="A7" s="3">
        <v>7</v>
      </c>
      <c r="B7" s="4" t="s">
        <v>44</v>
      </c>
      <c r="C7" s="5"/>
      <c r="D7" s="5"/>
      <c r="E7" s="5"/>
      <c r="F7" s="5"/>
      <c r="G7" s="5"/>
      <c r="H7" s="6"/>
      <c r="I7" s="2">
        <v>2</v>
      </c>
    </row>
    <row r="8" spans="1:9" x14ac:dyDescent="0.25">
      <c r="A8" s="3">
        <v>8</v>
      </c>
      <c r="B8" s="4" t="s">
        <v>45</v>
      </c>
      <c r="C8" s="5"/>
      <c r="D8" s="5"/>
      <c r="E8" s="5"/>
      <c r="F8" s="5"/>
      <c r="G8" s="5"/>
      <c r="H8" s="6"/>
      <c r="I8" s="2">
        <v>2</v>
      </c>
    </row>
    <row r="9" spans="1:9" x14ac:dyDescent="0.25">
      <c r="A9" s="3">
        <v>9</v>
      </c>
      <c r="B9" s="4" t="s">
        <v>46</v>
      </c>
      <c r="C9" s="5"/>
      <c r="D9" s="5"/>
      <c r="E9" s="5"/>
      <c r="F9" s="5"/>
      <c r="G9" s="5"/>
      <c r="H9" s="6"/>
      <c r="I9" s="2">
        <v>2</v>
      </c>
    </row>
    <row r="10" spans="1:9" x14ac:dyDescent="0.25">
      <c r="A10" s="3">
        <v>10</v>
      </c>
      <c r="B10" s="4" t="s">
        <v>47</v>
      </c>
      <c r="C10" s="5"/>
      <c r="D10" s="5"/>
      <c r="E10" s="5"/>
      <c r="F10" s="5"/>
      <c r="G10" s="5"/>
      <c r="H10" s="6"/>
      <c r="I10" s="2">
        <v>2</v>
      </c>
    </row>
    <row r="11" spans="1:9" x14ac:dyDescent="0.25">
      <c r="A11" s="3">
        <v>11</v>
      </c>
      <c r="B11" s="4" t="s">
        <v>48</v>
      </c>
      <c r="C11" s="5"/>
      <c r="D11" s="5"/>
      <c r="E11" s="5"/>
      <c r="F11" s="5"/>
      <c r="G11" s="5"/>
      <c r="H11" s="6"/>
      <c r="I11" s="2">
        <v>2</v>
      </c>
    </row>
    <row r="12" spans="1:9" x14ac:dyDescent="0.25">
      <c r="A12" s="3">
        <v>12</v>
      </c>
      <c r="B12" s="4" t="s">
        <v>49</v>
      </c>
      <c r="C12" s="5"/>
      <c r="D12" s="5"/>
      <c r="E12" s="5"/>
      <c r="F12" s="5"/>
      <c r="G12" s="5"/>
      <c r="H12" s="6"/>
      <c r="I12" s="2">
        <v>2</v>
      </c>
    </row>
    <row r="13" spans="1:9" x14ac:dyDescent="0.25">
      <c r="A13" s="3">
        <v>13</v>
      </c>
      <c r="B13" s="4" t="s">
        <v>50</v>
      </c>
      <c r="C13" s="5"/>
      <c r="D13" s="5"/>
      <c r="E13" s="5"/>
      <c r="F13" s="5"/>
      <c r="G13" s="5"/>
      <c r="H13" s="6"/>
      <c r="I13" s="2">
        <v>2</v>
      </c>
    </row>
    <row r="14" spans="1:9" x14ac:dyDescent="0.25">
      <c r="A14" s="3">
        <v>14</v>
      </c>
      <c r="B14" s="4" t="s">
        <v>51</v>
      </c>
      <c r="C14" s="5"/>
      <c r="D14" s="5"/>
      <c r="E14" s="5"/>
      <c r="F14" s="5"/>
      <c r="G14" s="5"/>
      <c r="H14" s="6"/>
      <c r="I14" s="2">
        <v>2</v>
      </c>
    </row>
    <row r="15" spans="1:9" x14ac:dyDescent="0.25">
      <c r="A15" s="3">
        <v>15</v>
      </c>
      <c r="B15" s="4" t="s">
        <v>52</v>
      </c>
      <c r="C15" s="5"/>
      <c r="D15" s="5"/>
      <c r="E15" s="5"/>
      <c r="F15" s="5"/>
      <c r="G15" s="5"/>
      <c r="H15" s="6"/>
      <c r="I15" s="2">
        <v>2</v>
      </c>
    </row>
    <row r="16" spans="1:9" x14ac:dyDescent="0.25">
      <c r="A16" s="3">
        <v>16</v>
      </c>
      <c r="B16" s="4" t="s">
        <v>53</v>
      </c>
      <c r="C16" s="5"/>
      <c r="D16" s="5"/>
      <c r="E16" s="5"/>
      <c r="F16" s="5"/>
      <c r="G16" s="5"/>
      <c r="H16" s="6"/>
      <c r="I16" s="2">
        <v>2</v>
      </c>
    </row>
    <row r="17" spans="1:9" x14ac:dyDescent="0.25">
      <c r="A17" s="3">
        <v>17</v>
      </c>
      <c r="B17" s="4" t="s">
        <v>54</v>
      </c>
      <c r="C17" s="5"/>
      <c r="D17" s="5"/>
      <c r="E17" s="5"/>
      <c r="F17" s="5"/>
      <c r="G17" s="5"/>
      <c r="H17" s="6"/>
      <c r="I17" s="2">
        <v>2</v>
      </c>
    </row>
    <row r="18" spans="1:9" x14ac:dyDescent="0.25">
      <c r="A18" s="3">
        <v>18</v>
      </c>
      <c r="B18" s="4" t="s">
        <v>55</v>
      </c>
      <c r="C18" s="5"/>
      <c r="D18" s="5"/>
      <c r="E18" s="5"/>
      <c r="F18" s="5"/>
      <c r="G18" s="5"/>
      <c r="H18" s="6"/>
      <c r="I18" s="2">
        <v>2</v>
      </c>
    </row>
    <row r="19" spans="1:9" x14ac:dyDescent="0.25">
      <c r="A19" s="3">
        <v>19</v>
      </c>
      <c r="B19" s="4" t="s">
        <v>56</v>
      </c>
      <c r="C19" s="5"/>
      <c r="D19" s="5"/>
      <c r="E19" s="5"/>
      <c r="F19" s="5"/>
      <c r="G19" s="5"/>
      <c r="H19" s="6"/>
      <c r="I19" s="2">
        <v>2</v>
      </c>
    </row>
    <row r="20" spans="1:9" x14ac:dyDescent="0.25">
      <c r="A20" s="3">
        <v>20</v>
      </c>
      <c r="B20" s="4" t="s">
        <v>57</v>
      </c>
      <c r="C20" s="5"/>
      <c r="D20" s="5"/>
      <c r="E20" s="5"/>
      <c r="F20" s="5"/>
      <c r="G20" s="5"/>
      <c r="H20" s="6"/>
      <c r="I20" s="2">
        <v>2</v>
      </c>
    </row>
    <row r="21" spans="1:9" x14ac:dyDescent="0.25">
      <c r="A21" s="3">
        <v>21</v>
      </c>
      <c r="B21" s="4" t="s">
        <v>58</v>
      </c>
      <c r="C21" s="5"/>
      <c r="D21" s="5"/>
      <c r="E21" s="5"/>
      <c r="F21" s="5"/>
      <c r="G21" s="5"/>
      <c r="H21" s="6"/>
      <c r="I21" s="2">
        <v>2</v>
      </c>
    </row>
    <row r="22" spans="1:9" x14ac:dyDescent="0.25">
      <c r="A22" s="3">
        <v>22</v>
      </c>
      <c r="B22" s="4" t="s">
        <v>59</v>
      </c>
      <c r="C22" s="5"/>
      <c r="D22" s="5"/>
      <c r="E22" s="5"/>
      <c r="F22" s="5"/>
      <c r="G22" s="5"/>
      <c r="H22" s="6"/>
      <c r="I22" s="2">
        <v>2</v>
      </c>
    </row>
    <row r="23" spans="1:9" x14ac:dyDescent="0.25">
      <c r="A23" s="3">
        <v>23</v>
      </c>
      <c r="B23" s="4" t="s">
        <v>60</v>
      </c>
      <c r="C23" s="5"/>
      <c r="D23" s="5"/>
      <c r="E23" s="5"/>
      <c r="F23" s="5"/>
      <c r="G23" s="5"/>
      <c r="H23" s="6"/>
      <c r="I23" s="2">
        <v>2</v>
      </c>
    </row>
    <row r="24" spans="1:9" x14ac:dyDescent="0.25">
      <c r="A24" s="3">
        <v>24</v>
      </c>
      <c r="B24" s="4" t="s">
        <v>61</v>
      </c>
      <c r="C24" s="5"/>
      <c r="D24" s="5"/>
      <c r="E24" s="5"/>
      <c r="F24" s="5"/>
      <c r="G24" s="5"/>
      <c r="H24" s="6"/>
      <c r="I24" s="2">
        <v>2</v>
      </c>
    </row>
    <row r="25" spans="1:9" x14ac:dyDescent="0.25">
      <c r="A25" s="3">
        <v>25</v>
      </c>
      <c r="B25" s="4" t="s">
        <v>62</v>
      </c>
      <c r="C25" s="5"/>
      <c r="D25" s="5"/>
      <c r="E25" s="5"/>
      <c r="F25" s="5"/>
      <c r="G25" s="5"/>
      <c r="H25" s="6"/>
      <c r="I25" s="2">
        <v>2</v>
      </c>
    </row>
    <row r="26" spans="1:9" x14ac:dyDescent="0.25">
      <c r="A26" s="3">
        <v>26</v>
      </c>
      <c r="B26" s="4" t="s">
        <v>63</v>
      </c>
      <c r="C26" s="5"/>
      <c r="D26" s="5"/>
      <c r="E26" s="5"/>
      <c r="F26" s="5"/>
      <c r="G26" s="5"/>
      <c r="H26" s="6"/>
      <c r="I26" s="2">
        <v>2</v>
      </c>
    </row>
    <row r="27" spans="1:9" x14ac:dyDescent="0.25">
      <c r="A27" s="3">
        <v>27</v>
      </c>
      <c r="B27" s="4" t="s">
        <v>64</v>
      </c>
      <c r="C27" s="5"/>
      <c r="D27" s="5"/>
      <c r="E27" s="5"/>
      <c r="F27" s="5"/>
      <c r="G27" s="5"/>
      <c r="H27" s="6"/>
      <c r="I27" s="2">
        <v>2</v>
      </c>
    </row>
    <row r="28" spans="1:9" x14ac:dyDescent="0.25">
      <c r="A28" s="3">
        <v>28</v>
      </c>
      <c r="B28" s="4" t="s">
        <v>65</v>
      </c>
      <c r="C28" s="5"/>
      <c r="D28" s="5"/>
      <c r="E28" s="5"/>
      <c r="F28" s="5"/>
      <c r="G28" s="5"/>
      <c r="H28" s="6"/>
      <c r="I28" s="2">
        <v>2</v>
      </c>
    </row>
    <row r="29" spans="1:9" x14ac:dyDescent="0.25">
      <c r="A29" s="3">
        <v>29</v>
      </c>
      <c r="B29" s="4" t="s">
        <v>66</v>
      </c>
      <c r="C29" s="5"/>
      <c r="D29" s="5"/>
      <c r="E29" s="5"/>
      <c r="F29" s="5"/>
      <c r="G29" s="5"/>
      <c r="H29" s="6"/>
      <c r="I29" s="2">
        <v>2</v>
      </c>
    </row>
    <row r="30" spans="1:9" x14ac:dyDescent="0.25">
      <c r="A30" s="3">
        <v>30</v>
      </c>
      <c r="B30" s="7" t="s">
        <v>67</v>
      </c>
      <c r="C30" s="8"/>
      <c r="D30" s="8"/>
      <c r="E30" s="8"/>
      <c r="F30" s="8"/>
      <c r="G30" s="8"/>
      <c r="H30" s="9"/>
      <c r="I30" s="2">
        <v>2</v>
      </c>
    </row>
    <row r="31" spans="1:9" x14ac:dyDescent="0.25">
      <c r="I31" s="2">
        <v>60</v>
      </c>
    </row>
    <row r="32" spans="1:9" x14ac:dyDescent="0.25">
      <c r="I32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506D95-EF7F-4F0D-8277-154960BF1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ANSWER-16,17,18</vt:lpstr>
      <vt:lpstr>Sales_Data</vt:lpstr>
      <vt:lpstr>Product_Master</vt:lpstr>
      <vt:lpstr>ANSWER-19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heli</cp:lastModifiedBy>
  <dcterms:created xsi:type="dcterms:W3CDTF">2025-12-20T09:26:06Z</dcterms:created>
  <dcterms:modified xsi:type="dcterms:W3CDTF">2026-07-13T07:54:19Z</dcterms:modified>
</cp:coreProperties>
</file>